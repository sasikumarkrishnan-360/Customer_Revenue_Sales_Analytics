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Orders" sheetId="1" state="visible" r:id="rId3"/>
    <sheet name="Customers" sheetId="2" state="visible" r:id="rId4"/>
    <sheet name="Products" sheetId="3" state="visible" r:id="rId5"/>
    <sheet name="Employees" sheetId="4" state="visible" r:id="rId6"/>
    <sheet name="Sales_Detail" sheetId="5" state="visible" r:id="rId7"/>
    <sheet name="Monthly_Summary" sheetId="6" state="visible" r:id="rId8"/>
    <sheet name="Product_Summary" sheetId="7" state="visible" r:id="rId9"/>
    <sheet name="Channel_Summary" sheetId="8" state="visible" r:id="rId10"/>
    <sheet name="Dashboard_Data" sheetId="9" state="visible" r:id="rId11"/>
    <sheet name="Category_Summary" sheetId="10" state="visible" r:id="rId12"/>
    <sheet name="City_Summary" sheetId="11" state="visible" r:id="rId13"/>
    <sheet name="Customer_Summary" sheetId="12" state="visible" r:id="rId14"/>
    <sheet name="Formula_Guide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<sst xmlns="http://schemas.openxmlformats.org/spreadsheetml/2006/main" count="728" uniqueCount="141">
  <si>
    <t xml:space="preserve">order_id</t>
  </si>
  <si>
    <t xml:space="preserve">customer_id</t>
  </si>
  <si>
    <t xml:space="preserve">order_date</t>
  </si>
  <si>
    <t xml:space="preserve">product_id</t>
  </si>
  <si>
    <t xml:space="preserve">quantity</t>
  </si>
  <si>
    <t xml:space="preserve">sales_channel</t>
  </si>
  <si>
    <t xml:space="preserve">employee_id</t>
  </si>
  <si>
    <t xml:space="preserve">P101</t>
  </si>
  <si>
    <t xml:space="preserve">Online</t>
  </si>
  <si>
    <t xml:space="preserve">E01</t>
  </si>
  <si>
    <t xml:space="preserve">P102</t>
  </si>
  <si>
    <t xml:space="preserve">Store</t>
  </si>
  <si>
    <t xml:space="preserve">E03</t>
  </si>
  <si>
    <t xml:space="preserve">P105</t>
  </si>
  <si>
    <t xml:space="preserve">E02</t>
  </si>
  <si>
    <t xml:space="preserve">P103</t>
  </si>
  <si>
    <t xml:space="preserve">E04</t>
  </si>
  <si>
    <t xml:space="preserve">P106</t>
  </si>
  <si>
    <t xml:space="preserve">P108</t>
  </si>
  <si>
    <t xml:space="preserve">P104</t>
  </si>
  <si>
    <t xml:space="preserve">P107</t>
  </si>
  <si>
    <t xml:space="preserve">E05</t>
  </si>
  <si>
    <t xml:space="preserve">customer_name</t>
  </si>
  <si>
    <t xml:space="preserve">city</t>
  </si>
  <si>
    <t xml:space="preserve">country</t>
  </si>
  <si>
    <t xml:space="preserve">segment</t>
  </si>
  <si>
    <t xml:space="preserve">signup_date</t>
  </si>
  <si>
    <t xml:space="preserve">Rahul</t>
  </si>
  <si>
    <t xml:space="preserve">Dubai</t>
  </si>
  <si>
    <t xml:space="preserve">UAE</t>
  </si>
  <si>
    <t xml:space="preserve">Premium</t>
  </si>
  <si>
    <t xml:space="preserve">Priya</t>
  </si>
  <si>
    <t xml:space="preserve">Chennai</t>
  </si>
  <si>
    <t xml:space="preserve">India</t>
  </si>
  <si>
    <t xml:space="preserve">Standard</t>
  </si>
  <si>
    <t xml:space="preserve">John</t>
  </si>
  <si>
    <t xml:space="preserve">Abu Dhabi</t>
  </si>
  <si>
    <t xml:space="preserve">Meena</t>
  </si>
  <si>
    <t xml:space="preserve">Bangalore</t>
  </si>
  <si>
    <t xml:space="preserve">Kiran</t>
  </si>
  <si>
    <t xml:space="preserve">Mumbai</t>
  </si>
  <si>
    <t xml:space="preserve">Kevin</t>
  </si>
  <si>
    <t xml:space="preserve">Alice</t>
  </si>
  <si>
    <t xml:space="preserve">Tom</t>
  </si>
  <si>
    <t xml:space="preserve">Sharjah</t>
  </si>
  <si>
    <t xml:space="preserve">Emma</t>
  </si>
  <si>
    <t xml:space="preserve">James</t>
  </si>
  <si>
    <t xml:space="preserve">Hyderabad</t>
  </si>
  <si>
    <t xml:space="preserve">product_name</t>
  </si>
  <si>
    <t xml:space="preserve">category</t>
  </si>
  <si>
    <t xml:space="preserve">cost</t>
  </si>
  <si>
    <t xml:space="preserve">selling_price</t>
  </si>
  <si>
    <t xml:space="preserve">Laptop</t>
  </si>
  <si>
    <t xml:space="preserve">Electronics</t>
  </si>
  <si>
    <t xml:space="preserve">Headphones</t>
  </si>
  <si>
    <t xml:space="preserve">Office Chair</t>
  </si>
  <si>
    <t xml:space="preserve">Furniture</t>
  </si>
  <si>
    <t xml:space="preserve">Desk</t>
  </si>
  <si>
    <t xml:space="preserve">Monitor</t>
  </si>
  <si>
    <t xml:space="preserve">Keyboard</t>
  </si>
  <si>
    <t xml:space="preserve">Accessories</t>
  </si>
  <si>
    <t xml:space="preserve">Mouse</t>
  </si>
  <si>
    <t xml:space="preserve">Printer</t>
  </si>
  <si>
    <t xml:space="preserve">employee_name</t>
  </si>
  <si>
    <t xml:space="preserve">department</t>
  </si>
  <si>
    <t xml:space="preserve">Arun</t>
  </si>
  <si>
    <t xml:space="preserve">Sales</t>
  </si>
  <si>
    <t xml:space="preserve">David</t>
  </si>
  <si>
    <t xml:space="preserve">Sara</t>
  </si>
  <si>
    <t xml:space="preserve">city_x</t>
  </si>
  <si>
    <t xml:space="preserve">city_y</t>
  </si>
  <si>
    <t xml:space="preserve">total_revenue</t>
  </si>
  <si>
    <t xml:space="preserve">total_cost</t>
  </si>
  <si>
    <t xml:space="preserve">total_profit</t>
  </si>
  <si>
    <t xml:space="preserve">month</t>
  </si>
  <si>
    <t xml:space="preserve">order_count</t>
  </si>
  <si>
    <t xml:space="preserve">total_quantity</t>
  </si>
  <si>
    <t xml:space="preserve">profit_margin_pct</t>
  </si>
  <si>
    <t xml:space="preserve">revenue_growth_pct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</si>
  <si>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</si>
  <si>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</si>
  <si>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</si>
  <si>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</si>
  <si>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</si>
  <si>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</si>
  <si>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</si>
  <si>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t xml:space="preserve">2026-08</t>
  </si>
  <si>
    <t xml:space="preserve">2026-09</t>
  </si>
  <si>
    <t xml:space="preserve">2026-10</t>
  </si>
  <si>
    <t xml:space="preserve">average_order_value</t>
  </si>
  <si>
    <t xml:space="preserve">revenue_share_pct</t>
  </si>
  <si>
    <t xml:space="preserve">KPI</t>
  </si>
  <si>
    <t xml:space="preserve">Value</t>
  </si>
  <si>
    <t xml:space="preserve">Definition</t>
  </si>
  <si>
    <t xml:space="preserve">Total Orders</t>
  </si>
  <si>
    <t xml:space="preserve">Count of unique orders</t>
  </si>
  <si>
    <t xml:space="preserve">Total Revenue</t>
  </si>
  <si>
    <t xml:space="preserve">Sum of quantity × selling price</t>
  </si>
  <si>
    <t xml:space="preserve">Total Cost</t>
  </si>
  <si>
    <t xml:space="preserve">Sum of quantity × product cost</t>
  </si>
  <si>
    <t xml:space="preserve">Total Profit</t>
  </si>
  <si>
    <t xml:space="preserve">Total revenue − total cost</t>
  </si>
  <si>
    <t xml:space="preserve">Overall Profit Margin (%)</t>
  </si>
  <si>
    <t xml:space="preserve">Total profit ÷ total revenue × 100</t>
  </si>
  <si>
    <t xml:space="preserve">Average Order Value</t>
  </si>
  <si>
    <t xml:space="preserve">Total revenue ÷ unique orders</t>
  </si>
  <si>
    <t xml:space="preserve">Total Units Sold</t>
  </si>
  <si>
    <t xml:space="preserve">Sum of quantities</t>
  </si>
  <si>
    <t xml:space="preserve">Customers</t>
  </si>
  <si>
    <t xml:space="preserve">Unique customers in customer table</t>
  </si>
  <si>
    <t xml:space="preserve">Products</t>
  </si>
  <si>
    <t xml:space="preserve">Unique products in product table</t>
  </si>
  <si>
    <t xml:space="preserve">customer_city</t>
  </si>
  <si>
    <t xml:space="preserve">Calculated field</t>
  </si>
  <si>
    <t xml:space="preserve">Formula example (Sales_Detail row 2)</t>
  </si>
  <si>
    <t xml:space="preserve">Purpose</t>
  </si>
  <si>
    <t xml:space="preserve">E2*K2</t>
  </si>
  <si>
    <t xml:space="preserve">Quantity × selling price</t>
  </si>
  <si>
    <t xml:space="preserve">E2*J2</t>
  </si>
  <si>
    <t xml:space="preserve">Quantity × product cost</t>
  </si>
  <si>
    <t xml:space="preserve">T2-U2</t>
  </si>
  <si>
    <t xml:space="preserve">Revenue − cost</t>
  </si>
  <si>
    <t xml:space="preserve">Convert order date to year-month for monthly grouping</t>
  </si>
  <si>
    <t xml:space="preserve">Profit margin %</t>
  </si>
  <si>
    <t xml:space="preserve">IFERROR(total_profit/total_revenue*100,0)</t>
  </si>
  <si>
    <t xml:space="preserve">Profit as a percentage of revenue; use total profit ÷ total revenue</t>
  </si>
  <si>
    <t xml:space="preserve">Monthly revenue</t>
  </si>
  <si>
    <t xml:space="preserve">SUMIF($Sales_Detail.W2:W31,A2,$Sales_Detail.T2:T31)</t>
  </si>
  <si>
    <t xml:space="preserve">Sum revenue for the month in A2</t>
  </si>
  <si>
    <t xml:space="preserve">Orders per month</t>
  </si>
  <si>
    <t xml:space="preserve">COUNTIF($Sales_Detail.W2:W31,A2)</t>
  </si>
  <si>
    <t xml:space="preserve">Count order rows for a month</t>
  </si>
  <si>
    <t xml:space="preserve">Customer revenue</t>
  </si>
  <si>
    <t xml:space="preserve">SUMIF($Sales_Detail.B2:B31,A2,$Sales_Detail.T2:T31)</t>
  </si>
  <si>
    <t xml:space="preserve">Sum revenue for customer ID in A2</t>
  </si>
  <si>
    <t xml:space="preserve">Channel revenue share</t>
  </si>
  <si>
    <t xml:space="preserve">D2/SUM(D2:D3)*100</t>
  </si>
  <si>
    <t xml:space="preserve">Channel revenue divided by total revenue</t>
  </si>
  <si>
    <t xml:space="preserve">Average order value</t>
  </si>
  <si>
    <t xml:space="preserve">total revenue/total orders</t>
  </si>
  <si>
    <t xml:space="preserve">Revenue divided by unique order count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</si>
</sst>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;[RED]\-#,##0.00"/>
    <numFmt numFmtId="166" formatCode="yyyy\-mm\-dd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theme="1"/>
      <name val="Cambria"/>
      <family val="0"/>
    </font>
  </fonts>
  <fills count="5">
    <fill>
      <patternFill patternType="none"/>
    </fill>
    <fill>
      <patternFill patternType="gray125"/>
    </fill>
    <fill>
      <patternFill patternType="solid">
        <fgColor rgb="FF244062"/>
        <bgColor rgb="FF1F4E78"/>
      </patternFill>
    </fill>
    <fill>
      <patternFill patternType="solid">
        <fgColor rgb="FFFFF2CC"/>
        <bgColor rgb="FFFFFFFF"/>
      </patternFill>
    </fill>
    <fill>
      <patternFill patternType="solid">
        <fgColor rgb="FF1F4E78"/>
        <bgColor rgb="FF24406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24406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1" topLeftCell="A2" activePane="bottomLeft" state="frozen"/>
      <selection pane="topLeft" activeCell="A1" activeCellId="0" sqref="A1"/>
      <selection pane="bottomLeft" activeCell="L23" activeCellId="0" sqref="L23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21"/>
    <col collapsed="false" customWidth="true" hidden="false" outlineLevel="0" max="5" min="4" style="0" width="12"/>
    <col collapsed="false" customWidth="true" hidden="false" outlineLevel="0" max="6" min="6" style="0" width="15"/>
    <col collapsed="false" customWidth="true" hidden="false" outlineLevel="0" max="7" min="7" style="0" width="1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n">
        <v>5001</v>
      </c>
      <c r="B2" s="2" t="n">
        <v>101</v>
      </c>
      <c r="C2" s="3" t="n">
        <v>46027</v>
      </c>
      <c r="D2" s="4" t="s">
        <v>7</v>
      </c>
      <c r="E2" s="2" t="n">
        <v>1</v>
      </c>
      <c r="F2" s="4" t="s">
        <v>8</v>
      </c>
      <c r="G2" s="4" t="s">
        <v>9</v>
      </c>
    </row>
    <row r="3" customFormat="false" ht="15" hidden="false" customHeight="false" outlineLevel="0" collapsed="false">
      <c r="A3" s="2" t="n">
        <v>5002</v>
      </c>
      <c r="B3" s="2" t="n">
        <v>102</v>
      </c>
      <c r="C3" s="3" t="n">
        <v>46034</v>
      </c>
      <c r="D3" s="4" t="s">
        <v>10</v>
      </c>
      <c r="E3" s="2" t="n">
        <v>3</v>
      </c>
      <c r="F3" s="4" t="s">
        <v>11</v>
      </c>
      <c r="G3" s="4" t="s">
        <v>12</v>
      </c>
    </row>
    <row r="4" customFormat="false" ht="15" hidden="false" customHeight="false" outlineLevel="0" collapsed="false">
      <c r="A4" s="2" t="n">
        <v>5003</v>
      </c>
      <c r="B4" s="2" t="n">
        <v>103</v>
      </c>
      <c r="C4" s="3" t="n">
        <v>46042</v>
      </c>
      <c r="D4" s="4" t="s">
        <v>13</v>
      </c>
      <c r="E4" s="2" t="n">
        <v>2</v>
      </c>
      <c r="F4" s="4" t="s">
        <v>8</v>
      </c>
      <c r="G4" s="4" t="s">
        <v>14</v>
      </c>
    </row>
    <row r="5" customFormat="false" ht="15" hidden="false" customHeight="false" outlineLevel="0" collapsed="false">
      <c r="A5" s="2" t="n">
        <v>5004</v>
      </c>
      <c r="B5" s="2" t="n">
        <v>104</v>
      </c>
      <c r="C5" s="3" t="n">
        <v>46056</v>
      </c>
      <c r="D5" s="4" t="s">
        <v>15</v>
      </c>
      <c r="E5" s="2" t="n">
        <v>1</v>
      </c>
      <c r="F5" s="4" t="s">
        <v>11</v>
      </c>
      <c r="G5" s="4" t="s">
        <v>12</v>
      </c>
    </row>
    <row r="6" customFormat="false" ht="15" hidden="false" customHeight="false" outlineLevel="0" collapsed="false">
      <c r="A6" s="2" t="n">
        <v>5005</v>
      </c>
      <c r="B6" s="2" t="n">
        <v>105</v>
      </c>
      <c r="C6" s="3" t="n">
        <v>46068</v>
      </c>
      <c r="D6" s="4" t="s">
        <v>7</v>
      </c>
      <c r="E6" s="2" t="n">
        <v>2</v>
      </c>
      <c r="F6" s="4" t="s">
        <v>8</v>
      </c>
      <c r="G6" s="4" t="s">
        <v>16</v>
      </c>
    </row>
    <row r="7" customFormat="false" ht="15" hidden="false" customHeight="false" outlineLevel="0" collapsed="false">
      <c r="A7" s="2" t="n">
        <v>5006</v>
      </c>
      <c r="B7" s="2" t="n">
        <v>106</v>
      </c>
      <c r="C7" s="3" t="n">
        <v>46078</v>
      </c>
      <c r="D7" s="4" t="s">
        <v>17</v>
      </c>
      <c r="E7" s="2" t="n">
        <v>5</v>
      </c>
      <c r="F7" s="4" t="s">
        <v>8</v>
      </c>
      <c r="G7" s="4" t="s">
        <v>9</v>
      </c>
    </row>
    <row r="8" customFormat="false" ht="15" hidden="false" customHeight="false" outlineLevel="0" collapsed="false">
      <c r="A8" s="2" t="n">
        <v>5007</v>
      </c>
      <c r="B8" s="2" t="n">
        <v>107</v>
      </c>
      <c r="C8" s="3" t="n">
        <v>46083</v>
      </c>
      <c r="D8" s="4" t="s">
        <v>18</v>
      </c>
      <c r="E8" s="2" t="n">
        <v>1</v>
      </c>
      <c r="F8" s="4" t="s">
        <v>11</v>
      </c>
      <c r="G8" s="4" t="s">
        <v>12</v>
      </c>
    </row>
    <row r="9" customFormat="false" ht="15" hidden="false" customHeight="false" outlineLevel="0" collapsed="false">
      <c r="A9" s="2" t="n">
        <v>5008</v>
      </c>
      <c r="B9" s="2" t="n">
        <v>108</v>
      </c>
      <c r="C9" s="3" t="n">
        <v>46099</v>
      </c>
      <c r="D9" s="4" t="s">
        <v>19</v>
      </c>
      <c r="E9" s="2" t="n">
        <v>2</v>
      </c>
      <c r="F9" s="4" t="s">
        <v>11</v>
      </c>
      <c r="G9" s="4" t="s">
        <v>9</v>
      </c>
    </row>
    <row r="10" customFormat="false" ht="15" hidden="false" customHeight="false" outlineLevel="0" collapsed="false">
      <c r="A10" s="2" t="n">
        <v>5009</v>
      </c>
      <c r="B10" s="2" t="n">
        <v>109</v>
      </c>
      <c r="C10" s="3" t="n">
        <v>46109</v>
      </c>
      <c r="D10" s="4" t="s">
        <v>7</v>
      </c>
      <c r="E10" s="2" t="n">
        <v>1</v>
      </c>
      <c r="F10" s="4" t="s">
        <v>8</v>
      </c>
      <c r="G10" s="4" t="s">
        <v>9</v>
      </c>
    </row>
    <row r="11" customFormat="false" ht="15" hidden="false" customHeight="false" outlineLevel="0" collapsed="false">
      <c r="A11" s="2" t="n">
        <v>5010</v>
      </c>
      <c r="B11" s="2" t="n">
        <v>110</v>
      </c>
      <c r="C11" s="3" t="n">
        <v>46117</v>
      </c>
      <c r="D11" s="4" t="s">
        <v>20</v>
      </c>
      <c r="E11" s="2" t="n">
        <v>4</v>
      </c>
      <c r="F11" s="4" t="s">
        <v>8</v>
      </c>
      <c r="G11" s="4" t="s">
        <v>21</v>
      </c>
    </row>
    <row r="12" customFormat="false" ht="15" hidden="false" customHeight="false" outlineLevel="0" collapsed="false">
      <c r="A12" s="2" t="n">
        <v>5011</v>
      </c>
      <c r="B12" s="2" t="n">
        <v>101</v>
      </c>
      <c r="C12" s="3" t="n">
        <v>46127</v>
      </c>
      <c r="D12" s="4" t="s">
        <v>13</v>
      </c>
      <c r="E12" s="2" t="n">
        <v>1</v>
      </c>
      <c r="F12" s="4" t="s">
        <v>8</v>
      </c>
      <c r="G12" s="4" t="s">
        <v>9</v>
      </c>
    </row>
    <row r="13" customFormat="false" ht="15" hidden="false" customHeight="false" outlineLevel="0" collapsed="false">
      <c r="A13" s="2" t="n">
        <v>5012</v>
      </c>
      <c r="B13" s="2" t="n">
        <v>102</v>
      </c>
      <c r="C13" s="3" t="n">
        <v>46134</v>
      </c>
      <c r="D13" s="4" t="s">
        <v>15</v>
      </c>
      <c r="E13" s="2" t="n">
        <v>2</v>
      </c>
      <c r="F13" s="4" t="s">
        <v>11</v>
      </c>
      <c r="G13" s="4" t="s">
        <v>12</v>
      </c>
    </row>
    <row r="14" customFormat="false" ht="15" hidden="false" customHeight="false" outlineLevel="0" collapsed="false">
      <c r="A14" s="2" t="n">
        <v>5013</v>
      </c>
      <c r="B14" s="2" t="n">
        <v>103</v>
      </c>
      <c r="C14" s="3" t="n">
        <v>46145</v>
      </c>
      <c r="D14" s="4" t="s">
        <v>7</v>
      </c>
      <c r="E14" s="2" t="n">
        <v>1</v>
      </c>
      <c r="F14" s="4" t="s">
        <v>8</v>
      </c>
      <c r="G14" s="4" t="s">
        <v>14</v>
      </c>
    </row>
    <row r="15" customFormat="false" ht="15" hidden="false" customHeight="false" outlineLevel="0" collapsed="false">
      <c r="A15" s="2" t="n">
        <v>5014</v>
      </c>
      <c r="B15" s="2" t="n">
        <v>105</v>
      </c>
      <c r="C15" s="3" t="n">
        <v>46159</v>
      </c>
      <c r="D15" s="4" t="s">
        <v>19</v>
      </c>
      <c r="E15" s="2" t="n">
        <v>3</v>
      </c>
      <c r="F15" s="4" t="s">
        <v>11</v>
      </c>
      <c r="G15" s="4" t="s">
        <v>16</v>
      </c>
    </row>
    <row r="16" customFormat="false" ht="15" hidden="false" customHeight="false" outlineLevel="0" collapsed="false">
      <c r="A16" s="2" t="n">
        <v>5015</v>
      </c>
      <c r="B16" s="2" t="n">
        <v>106</v>
      </c>
      <c r="C16" s="3" t="n">
        <v>46171</v>
      </c>
      <c r="D16" s="4" t="s">
        <v>10</v>
      </c>
      <c r="E16" s="2" t="n">
        <v>4</v>
      </c>
      <c r="F16" s="4" t="s">
        <v>8</v>
      </c>
      <c r="G16" s="4" t="s">
        <v>9</v>
      </c>
    </row>
    <row r="17" customFormat="false" ht="15" hidden="false" customHeight="false" outlineLevel="0" collapsed="false">
      <c r="A17" s="2" t="n">
        <v>5016</v>
      </c>
      <c r="B17" s="2" t="n">
        <v>107</v>
      </c>
      <c r="C17" s="3" t="n">
        <v>46179</v>
      </c>
      <c r="D17" s="4" t="s">
        <v>13</v>
      </c>
      <c r="E17" s="2" t="n">
        <v>2</v>
      </c>
      <c r="F17" s="4" t="s">
        <v>8</v>
      </c>
      <c r="G17" s="4" t="s">
        <v>12</v>
      </c>
    </row>
    <row r="18" customFormat="false" ht="15" hidden="false" customHeight="false" outlineLevel="0" collapsed="false">
      <c r="A18" s="2" t="n">
        <v>5017</v>
      </c>
      <c r="B18" s="2" t="n">
        <v>109</v>
      </c>
      <c r="C18" s="3" t="n">
        <v>46188</v>
      </c>
      <c r="D18" s="4" t="s">
        <v>18</v>
      </c>
      <c r="E18" s="2" t="n">
        <v>2</v>
      </c>
      <c r="F18" s="4" t="s">
        <v>11</v>
      </c>
      <c r="G18" s="4" t="s">
        <v>9</v>
      </c>
    </row>
    <row r="19" customFormat="false" ht="15" hidden="false" customHeight="false" outlineLevel="0" collapsed="false">
      <c r="A19" s="2" t="n">
        <v>5018</v>
      </c>
      <c r="B19" s="2" t="n">
        <v>101</v>
      </c>
      <c r="C19" s="3" t="n">
        <v>46204</v>
      </c>
      <c r="D19" s="4" t="s">
        <v>7</v>
      </c>
      <c r="E19" s="2" t="n">
        <v>2</v>
      </c>
      <c r="F19" s="4" t="s">
        <v>8</v>
      </c>
      <c r="G19" s="4" t="s">
        <v>9</v>
      </c>
    </row>
    <row r="20" customFormat="false" ht="15" hidden="false" customHeight="false" outlineLevel="0" collapsed="false">
      <c r="A20" s="2" t="n">
        <v>5019</v>
      </c>
      <c r="B20" s="2" t="n">
        <v>104</v>
      </c>
      <c r="C20" s="3" t="n">
        <v>46215</v>
      </c>
      <c r="D20" s="4" t="s">
        <v>17</v>
      </c>
      <c r="E20" s="2" t="n">
        <v>6</v>
      </c>
      <c r="F20" s="4" t="s">
        <v>11</v>
      </c>
      <c r="G20" s="4" t="s">
        <v>12</v>
      </c>
    </row>
    <row r="21" customFormat="false" ht="15" hidden="false" customHeight="false" outlineLevel="0" collapsed="false">
      <c r="A21" s="2" t="n">
        <v>5020</v>
      </c>
      <c r="B21" s="2" t="n">
        <v>108</v>
      </c>
      <c r="C21" s="3" t="n">
        <v>46228</v>
      </c>
      <c r="D21" s="4" t="s">
        <v>15</v>
      </c>
      <c r="E21" s="2" t="n">
        <v>1</v>
      </c>
      <c r="F21" s="4" t="s">
        <v>11</v>
      </c>
      <c r="G21" s="4" t="s">
        <v>9</v>
      </c>
    </row>
    <row r="22" customFormat="false" ht="15" hidden="false" customHeight="false" outlineLevel="0" collapsed="false">
      <c r="A22" s="2" t="n">
        <v>5021</v>
      </c>
      <c r="B22" s="2" t="n">
        <v>103</v>
      </c>
      <c r="C22" s="3" t="n">
        <v>46237</v>
      </c>
      <c r="D22" s="4" t="s">
        <v>19</v>
      </c>
      <c r="E22" s="2" t="n">
        <v>2</v>
      </c>
      <c r="F22" s="4" t="s">
        <v>8</v>
      </c>
      <c r="G22" s="4" t="s">
        <v>14</v>
      </c>
    </row>
    <row r="23" customFormat="false" ht="15" hidden="false" customHeight="false" outlineLevel="0" collapsed="false">
      <c r="A23" s="2" t="n">
        <v>5022</v>
      </c>
      <c r="B23" s="2" t="n">
        <v>105</v>
      </c>
      <c r="C23" s="3" t="n">
        <v>46248</v>
      </c>
      <c r="D23" s="4" t="s">
        <v>7</v>
      </c>
      <c r="E23" s="2" t="n">
        <v>3</v>
      </c>
      <c r="F23" s="4" t="s">
        <v>8</v>
      </c>
      <c r="G23" s="4" t="s">
        <v>16</v>
      </c>
    </row>
    <row r="24" customFormat="false" ht="15" hidden="false" customHeight="false" outlineLevel="0" collapsed="false">
      <c r="A24" s="2" t="n">
        <v>5023</v>
      </c>
      <c r="B24" s="2" t="n">
        <v>106</v>
      </c>
      <c r="C24" s="3" t="n">
        <v>46256</v>
      </c>
      <c r="D24" s="4" t="s">
        <v>20</v>
      </c>
      <c r="E24" s="2" t="n">
        <v>5</v>
      </c>
      <c r="F24" s="4" t="s">
        <v>11</v>
      </c>
      <c r="G24" s="4" t="s">
        <v>9</v>
      </c>
    </row>
    <row r="25" customFormat="false" ht="15" hidden="false" customHeight="false" outlineLevel="0" collapsed="false">
      <c r="A25" s="2" t="n">
        <v>5024</v>
      </c>
      <c r="B25" s="2" t="n">
        <v>109</v>
      </c>
      <c r="C25" s="3" t="n">
        <v>46270</v>
      </c>
      <c r="D25" s="4" t="s">
        <v>13</v>
      </c>
      <c r="E25" s="2" t="n">
        <v>3</v>
      </c>
      <c r="F25" s="4" t="s">
        <v>8</v>
      </c>
      <c r="G25" s="4" t="s">
        <v>9</v>
      </c>
    </row>
    <row r="26" customFormat="false" ht="15" hidden="false" customHeight="false" outlineLevel="0" collapsed="false">
      <c r="A26" s="2" t="n">
        <v>5025</v>
      </c>
      <c r="B26" s="2" t="n">
        <v>102</v>
      </c>
      <c r="C26" s="3" t="n">
        <v>46283</v>
      </c>
      <c r="D26" s="4" t="s">
        <v>18</v>
      </c>
      <c r="E26" s="2" t="n">
        <v>1</v>
      </c>
      <c r="F26" s="4" t="s">
        <v>11</v>
      </c>
      <c r="G26" s="4" t="s">
        <v>12</v>
      </c>
    </row>
    <row r="27" customFormat="false" ht="15" hidden="false" customHeight="false" outlineLevel="0" collapsed="false">
      <c r="A27" s="2" t="n">
        <v>5026</v>
      </c>
      <c r="B27" s="2" t="n">
        <v>110</v>
      </c>
      <c r="C27" s="3" t="n">
        <v>46290</v>
      </c>
      <c r="D27" s="4" t="s">
        <v>10</v>
      </c>
      <c r="E27" s="2" t="n">
        <v>2</v>
      </c>
      <c r="F27" s="4" t="s">
        <v>8</v>
      </c>
      <c r="G27" s="4" t="s">
        <v>21</v>
      </c>
    </row>
    <row r="28" customFormat="false" ht="15" hidden="false" customHeight="false" outlineLevel="0" collapsed="false">
      <c r="A28" s="2" t="n">
        <v>5027</v>
      </c>
      <c r="B28" s="2" t="n">
        <v>101</v>
      </c>
      <c r="C28" s="3" t="n">
        <v>46297</v>
      </c>
      <c r="D28" s="4" t="s">
        <v>15</v>
      </c>
      <c r="E28" s="2" t="n">
        <v>2</v>
      </c>
      <c r="F28" s="4" t="s">
        <v>11</v>
      </c>
      <c r="G28" s="4" t="s">
        <v>9</v>
      </c>
    </row>
    <row r="29" customFormat="false" ht="15" hidden="false" customHeight="false" outlineLevel="0" collapsed="false">
      <c r="A29" s="2" t="n">
        <v>5028</v>
      </c>
      <c r="B29" s="2" t="n">
        <v>107</v>
      </c>
      <c r="C29" s="3" t="n">
        <v>46306</v>
      </c>
      <c r="D29" s="4" t="s">
        <v>7</v>
      </c>
      <c r="E29" s="2" t="n">
        <v>1</v>
      </c>
      <c r="F29" s="4" t="s">
        <v>8</v>
      </c>
      <c r="G29" s="4" t="s">
        <v>12</v>
      </c>
    </row>
    <row r="30" customFormat="false" ht="15" hidden="false" customHeight="false" outlineLevel="0" collapsed="false">
      <c r="A30" s="2" t="n">
        <v>5029</v>
      </c>
      <c r="B30" s="2" t="n">
        <v>108</v>
      </c>
      <c r="C30" s="3" t="n">
        <v>46314</v>
      </c>
      <c r="D30" s="4" t="s">
        <v>19</v>
      </c>
      <c r="E30" s="2" t="n">
        <v>3</v>
      </c>
      <c r="F30" s="4" t="s">
        <v>11</v>
      </c>
      <c r="G30" s="4" t="s">
        <v>9</v>
      </c>
    </row>
    <row r="31" customFormat="false" ht="15" hidden="false" customHeight="false" outlineLevel="0" collapsed="false">
      <c r="A31" s="2" t="n">
        <v>5030</v>
      </c>
      <c r="B31" s="2" t="n">
        <v>105</v>
      </c>
      <c r="C31" s="3" t="n">
        <v>46323</v>
      </c>
      <c r="D31" s="4" t="s">
        <v>13</v>
      </c>
      <c r="E31" s="2" t="n">
        <v>2</v>
      </c>
      <c r="F31" s="4" t="s">
        <v>8</v>
      </c>
      <c r="G31" s="4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1" topLeftCell="A2" activePane="bottomLeft" state="frozen"/>
      <selection pane="topLeft" activeCell="A1" activeCellId="0" sqref="A1"/>
      <selection pane="bottomLeft" activeCell="G20" activeCellId="0" sqref="G20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4" width="13"/>
    <col collapsed="false" customWidth="true" hidden="false" outlineLevel="0" max="2" min="2" style="4" width="15"/>
    <col collapsed="false" customWidth="true" hidden="false" outlineLevel="0" max="5" min="3" style="4" width="12"/>
    <col collapsed="false" customWidth="true" hidden="false" outlineLevel="0" max="6" min="6" style="4" width="21"/>
    <col collapsed="false" customWidth="false" hidden="false" outlineLevel="0" max="16384" min="7" style="4" width="8.54"/>
  </cols>
  <sheetData>
    <row r="1" customFormat="false" ht="15" hidden="false" customHeight="false" outlineLevel="0" collapsed="false">
      <c r="A1" s="1" t="s">
        <v>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</row>
    <row r="2" customFormat="false" ht="15" hidden="false" customHeight="false" outlineLevel="0" collapsed="false">
      <c r="A2" s="2" t="n">
        <v>101</v>
      </c>
      <c r="B2" s="4" t="s">
        <v>27</v>
      </c>
      <c r="C2" s="4" t="s">
        <v>28</v>
      </c>
      <c r="D2" s="4" t="s">
        <v>29</v>
      </c>
      <c r="E2" s="4" t="s">
        <v>30</v>
      </c>
      <c r="F2" s="3" t="n">
        <v>45306</v>
      </c>
    </row>
    <row r="3" customFormat="false" ht="15" hidden="false" customHeight="false" outlineLevel="0" collapsed="false">
      <c r="A3" s="2" t="n">
        <v>102</v>
      </c>
      <c r="B3" s="4" t="s">
        <v>31</v>
      </c>
      <c r="C3" s="4" t="s">
        <v>32</v>
      </c>
      <c r="D3" s="4" t="s">
        <v>33</v>
      </c>
      <c r="E3" s="4" t="s">
        <v>34</v>
      </c>
      <c r="F3" s="3" t="n">
        <v>45332</v>
      </c>
    </row>
    <row r="4" customFormat="false" ht="15" hidden="false" customHeight="false" outlineLevel="0" collapsed="false">
      <c r="A4" s="2" t="n">
        <v>103</v>
      </c>
      <c r="B4" s="4" t="s">
        <v>35</v>
      </c>
      <c r="C4" s="4" t="s">
        <v>36</v>
      </c>
      <c r="D4" s="4" t="s">
        <v>29</v>
      </c>
      <c r="E4" s="4" t="s">
        <v>30</v>
      </c>
      <c r="F4" s="3" t="n">
        <v>45356</v>
      </c>
    </row>
    <row r="5" customFormat="false" ht="15" hidden="false" customHeight="false" outlineLevel="0" collapsed="false">
      <c r="A5" s="2" t="n">
        <v>104</v>
      </c>
      <c r="B5" s="4" t="s">
        <v>37</v>
      </c>
      <c r="C5" s="4" t="s">
        <v>38</v>
      </c>
      <c r="D5" s="4" t="s">
        <v>33</v>
      </c>
      <c r="E5" s="4" t="s">
        <v>34</v>
      </c>
      <c r="F5" s="3" t="n">
        <v>45402</v>
      </c>
    </row>
    <row r="6" customFormat="false" ht="15" hidden="false" customHeight="false" outlineLevel="0" collapsed="false">
      <c r="A6" s="2" t="n">
        <v>105</v>
      </c>
      <c r="B6" s="4" t="s">
        <v>39</v>
      </c>
      <c r="C6" s="4" t="s">
        <v>40</v>
      </c>
      <c r="D6" s="4" t="s">
        <v>33</v>
      </c>
      <c r="E6" s="4" t="s">
        <v>30</v>
      </c>
      <c r="F6" s="3" t="n">
        <v>45424</v>
      </c>
    </row>
    <row r="7" customFormat="false" ht="15" hidden="false" customHeight="false" outlineLevel="0" collapsed="false">
      <c r="A7" s="2" t="n">
        <v>106</v>
      </c>
      <c r="B7" s="4" t="s">
        <v>41</v>
      </c>
      <c r="C7" s="4" t="s">
        <v>28</v>
      </c>
      <c r="D7" s="4" t="s">
        <v>29</v>
      </c>
      <c r="E7" s="4" t="s">
        <v>34</v>
      </c>
      <c r="F7" s="3" t="n">
        <v>45461</v>
      </c>
    </row>
    <row r="8" customFormat="false" ht="15" hidden="false" customHeight="false" outlineLevel="0" collapsed="false">
      <c r="A8" s="2" t="n">
        <v>107</v>
      </c>
      <c r="B8" s="4" t="s">
        <v>42</v>
      </c>
      <c r="C8" s="4" t="s">
        <v>32</v>
      </c>
      <c r="D8" s="4" t="s">
        <v>33</v>
      </c>
      <c r="E8" s="4" t="s">
        <v>30</v>
      </c>
      <c r="F8" s="3" t="n">
        <v>45495</v>
      </c>
    </row>
    <row r="9" customFormat="false" ht="15" hidden="false" customHeight="false" outlineLevel="0" collapsed="false">
      <c r="A9" s="2" t="n">
        <v>108</v>
      </c>
      <c r="B9" s="4" t="s">
        <v>43</v>
      </c>
      <c r="C9" s="4" t="s">
        <v>44</v>
      </c>
      <c r="D9" s="4" t="s">
        <v>29</v>
      </c>
      <c r="E9" s="4" t="s">
        <v>34</v>
      </c>
      <c r="F9" s="3" t="n">
        <v>45518</v>
      </c>
    </row>
    <row r="10" customFormat="false" ht="15" hidden="false" customHeight="false" outlineLevel="0" collapsed="false">
      <c r="A10" s="2" t="n">
        <v>109</v>
      </c>
      <c r="B10" s="4" t="s">
        <v>45</v>
      </c>
      <c r="C10" s="4" t="s">
        <v>28</v>
      </c>
      <c r="D10" s="4" t="s">
        <v>29</v>
      </c>
      <c r="E10" s="4" t="s">
        <v>30</v>
      </c>
      <c r="F10" s="3" t="n">
        <v>45536</v>
      </c>
    </row>
    <row r="11" customFormat="false" ht="15" hidden="false" customHeight="false" outlineLevel="0" collapsed="false">
      <c r="A11" s="2" t="n">
        <v>110</v>
      </c>
      <c r="B11" s="4" t="s">
        <v>46</v>
      </c>
      <c r="C11" s="4" t="s">
        <v>47</v>
      </c>
      <c r="D11" s="4" t="s">
        <v>33</v>
      </c>
      <c r="E11" s="4" t="s">
        <v>34</v>
      </c>
      <c r="F11" s="3" t="n">
        <v>45576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1" topLeftCell="A2" activePane="bottomLeft" state="frozen"/>
      <selection pane="topLeft" activeCell="A1" activeCellId="0" sqref="A1"/>
      <selection pane="bottomLeft" activeCell="G17" activeCellId="0" sqref="G17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15"/>
  </cols>
  <sheetData>
    <row r="1" customFormat="false" ht="15" hidden="false" customHeight="false" outlineLevel="0" collapsed="false">
      <c r="A1" s="1" t="s">
        <v>3</v>
      </c>
      <c r="B1" s="1" t="s">
        <v>48</v>
      </c>
      <c r="C1" s="1" t="s">
        <v>49</v>
      </c>
      <c r="D1" s="1" t="s">
        <v>50</v>
      </c>
      <c r="E1" s="1" t="s">
        <v>51</v>
      </c>
    </row>
    <row r="2" customFormat="false" ht="15" hidden="false" customHeight="false" outlineLevel="0" collapsed="false">
      <c r="A2" s="4" t="s">
        <v>7</v>
      </c>
      <c r="B2" s="4" t="s">
        <v>52</v>
      </c>
      <c r="C2" s="4" t="s">
        <v>53</v>
      </c>
      <c r="D2" s="2" t="n">
        <v>500</v>
      </c>
      <c r="E2" s="2" t="n">
        <v>700</v>
      </c>
    </row>
    <row r="3" customFormat="false" ht="15" hidden="false" customHeight="false" outlineLevel="0" collapsed="false">
      <c r="A3" s="4" t="s">
        <v>10</v>
      </c>
      <c r="B3" s="4" t="s">
        <v>54</v>
      </c>
      <c r="C3" s="4" t="s">
        <v>53</v>
      </c>
      <c r="D3" s="2" t="n">
        <v>50</v>
      </c>
      <c r="E3" s="2" t="n">
        <v>90</v>
      </c>
    </row>
    <row r="4" customFormat="false" ht="15" hidden="false" customHeight="false" outlineLevel="0" collapsed="false">
      <c r="A4" s="4" t="s">
        <v>15</v>
      </c>
      <c r="B4" s="4" t="s">
        <v>55</v>
      </c>
      <c r="C4" s="4" t="s">
        <v>56</v>
      </c>
      <c r="D4" s="2" t="n">
        <v>100</v>
      </c>
      <c r="E4" s="2" t="n">
        <v>180</v>
      </c>
    </row>
    <row r="5" customFormat="false" ht="15" hidden="false" customHeight="false" outlineLevel="0" collapsed="false">
      <c r="A5" s="4" t="s">
        <v>19</v>
      </c>
      <c r="B5" s="4" t="s">
        <v>57</v>
      </c>
      <c r="C5" s="4" t="s">
        <v>56</v>
      </c>
      <c r="D5" s="2" t="n">
        <v>150</v>
      </c>
      <c r="E5" s="2" t="n">
        <v>250</v>
      </c>
    </row>
    <row r="6" customFormat="false" ht="15" hidden="false" customHeight="false" outlineLevel="0" collapsed="false">
      <c r="A6" s="4" t="s">
        <v>13</v>
      </c>
      <c r="B6" s="4" t="s">
        <v>58</v>
      </c>
      <c r="C6" s="4" t="s">
        <v>53</v>
      </c>
      <c r="D6" s="2" t="n">
        <v>180</v>
      </c>
      <c r="E6" s="2" t="n">
        <v>280</v>
      </c>
    </row>
    <row r="7" customFormat="false" ht="15" hidden="false" customHeight="false" outlineLevel="0" collapsed="false">
      <c r="A7" s="4" t="s">
        <v>17</v>
      </c>
      <c r="B7" s="4" t="s">
        <v>59</v>
      </c>
      <c r="C7" s="4" t="s">
        <v>60</v>
      </c>
      <c r="D7" s="2" t="n">
        <v>30</v>
      </c>
      <c r="E7" s="2" t="n">
        <v>60</v>
      </c>
    </row>
    <row r="8" customFormat="false" ht="15" hidden="false" customHeight="false" outlineLevel="0" collapsed="false">
      <c r="A8" s="4" t="s">
        <v>20</v>
      </c>
      <c r="B8" s="4" t="s">
        <v>61</v>
      </c>
      <c r="C8" s="4" t="s">
        <v>60</v>
      </c>
      <c r="D8" s="2" t="n">
        <v>20</v>
      </c>
      <c r="E8" s="2" t="n">
        <v>40</v>
      </c>
    </row>
    <row r="9" customFormat="false" ht="15" hidden="false" customHeight="false" outlineLevel="0" collapsed="false">
      <c r="A9" s="4" t="s">
        <v>18</v>
      </c>
      <c r="B9" s="4" t="s">
        <v>62</v>
      </c>
      <c r="C9" s="4" t="s">
        <v>53</v>
      </c>
      <c r="D9" s="2" t="n">
        <v>200</v>
      </c>
      <c r="E9" s="2" t="n">
        <v>320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1" topLeftCell="A2" activePane="bottomLeft" state="frozen"/>
      <selection pane="topLeft" activeCell="A1" activeCellId="0" sqref="A1"/>
      <selection pane="bottomLeft" activeCell="D16" activeCellId="0" sqref="D16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5"/>
    <col collapsed="false" customWidth="true" hidden="false" outlineLevel="0" max="4" min="3" style="0" width="12"/>
  </cols>
  <sheetData>
    <row r="1" customFormat="false" ht="15" hidden="false" customHeight="false" outlineLevel="0" collapsed="false">
      <c r="A1" s="1" t="s">
        <v>6</v>
      </c>
      <c r="B1" s="1" t="s">
        <v>63</v>
      </c>
      <c r="C1" s="1" t="s">
        <v>64</v>
      </c>
      <c r="D1" s="1" t="s">
        <v>23</v>
      </c>
    </row>
    <row r="2" customFormat="false" ht="15" hidden="false" customHeight="false" outlineLevel="0" collapsed="false">
      <c r="A2" s="4" t="s">
        <v>9</v>
      </c>
      <c r="B2" s="4" t="s">
        <v>65</v>
      </c>
      <c r="C2" s="4" t="s">
        <v>66</v>
      </c>
      <c r="D2" s="4" t="s">
        <v>28</v>
      </c>
    </row>
    <row r="3" customFormat="false" ht="15" hidden="false" customHeight="false" outlineLevel="0" collapsed="false">
      <c r="A3" s="4" t="s">
        <v>14</v>
      </c>
      <c r="B3" s="4" t="s">
        <v>37</v>
      </c>
      <c r="C3" s="4" t="s">
        <v>66</v>
      </c>
      <c r="D3" s="4" t="s">
        <v>36</v>
      </c>
    </row>
    <row r="4" customFormat="false" ht="15" hidden="false" customHeight="false" outlineLevel="0" collapsed="false">
      <c r="A4" s="4" t="s">
        <v>12</v>
      </c>
      <c r="B4" s="4" t="s">
        <v>67</v>
      </c>
      <c r="C4" s="4" t="s">
        <v>66</v>
      </c>
      <c r="D4" s="4" t="s">
        <v>32</v>
      </c>
    </row>
    <row r="5" customFormat="false" ht="15" hidden="false" customHeight="false" outlineLevel="0" collapsed="false">
      <c r="A5" s="4" t="s">
        <v>16</v>
      </c>
      <c r="B5" s="4" t="s">
        <v>68</v>
      </c>
      <c r="C5" s="4" t="s">
        <v>66</v>
      </c>
      <c r="D5" s="4" t="s">
        <v>40</v>
      </c>
    </row>
    <row r="6" customFormat="false" ht="15" hidden="false" customHeight="false" outlineLevel="0" collapsed="false">
      <c r="A6" s="4" t="s">
        <v>21</v>
      </c>
      <c r="B6" s="4" t="s">
        <v>41</v>
      </c>
      <c r="C6" s="4" t="s">
        <v>66</v>
      </c>
      <c r="D6" s="4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1"/>
  <sheetViews>
    <sheetView showFormulas="false" showGridLines="true" showRowColHeaders="true" showZeros="true" rightToLeft="false" tabSelected="true" showOutlineSymbols="true" defaultGridColor="true" view="normal" topLeftCell="K1" colorId="64" zoomScale="110" zoomScaleNormal="110" zoomScalePageLayoutView="100" workbookViewId="0">
      <pane xSplit="0" ySplit="1" topLeftCell="A2" activePane="bottomLeft" state="frozen"/>
      <selection pane="topLeft" activeCell="K1" activeCellId="0" sqref="K1"/>
      <selection pane="bottomLeft" activeCell="S5" activeCellId="0" sqref="S5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21"/>
    <col collapsed="false" customWidth="true" hidden="false" outlineLevel="0" max="5" min="4" style="0" width="12"/>
    <col collapsed="false" customWidth="true" hidden="false" outlineLevel="0" max="6" min="6" style="0" width="15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12"/>
    <col collapsed="false" customWidth="true" hidden="false" outlineLevel="0" max="12" min="11" style="0" width="15"/>
    <col collapsed="false" customWidth="true" hidden="false" outlineLevel="0" max="15" min="13" style="0" width="12"/>
    <col collapsed="false" customWidth="true" hidden="false" outlineLevel="0" max="16" min="16" style="0" width="21"/>
    <col collapsed="false" customWidth="true" hidden="false" outlineLevel="0" max="17" min="17" style="0" width="15"/>
    <col collapsed="false" customWidth="true" hidden="false" outlineLevel="0" max="19" min="18" style="0" width="12"/>
    <col collapsed="false" customWidth="true" hidden="false" outlineLevel="0" max="20" min="20" style="0" width="15"/>
    <col collapsed="false" customWidth="true" hidden="false" outlineLevel="0" max="21" min="21" style="0" width="12"/>
    <col collapsed="false" customWidth="true" hidden="false" outlineLevel="0" max="22" min="22" style="0" width="14"/>
    <col collapsed="false" customWidth="true" hidden="false" outlineLevel="0" max="23" min="23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22</v>
      </c>
      <c r="M1" s="1" t="s">
        <v>69</v>
      </c>
      <c r="N1" s="1" t="s">
        <v>24</v>
      </c>
      <c r="O1" s="1" t="s">
        <v>25</v>
      </c>
      <c r="P1" s="1" t="s">
        <v>26</v>
      </c>
      <c r="Q1" s="1" t="s">
        <v>63</v>
      </c>
      <c r="R1" s="1" t="s">
        <v>64</v>
      </c>
      <c r="S1" s="1" t="s">
        <v>70</v>
      </c>
      <c r="T1" s="1" t="s">
        <v>71</v>
      </c>
      <c r="U1" s="1" t="s">
        <v>72</v>
      </c>
      <c r="V1" s="1" t="s">
        <v>73</v>
      </c>
      <c r="W1" s="1" t="s">
        <v>74</v>
      </c>
    </row>
    <row r="2" customFormat="false" ht="15" hidden="false" customHeight="false" outlineLevel="0" collapsed="false">
      <c r="A2" s="2" t="n">
        <v>5001</v>
      </c>
      <c r="B2" s="2" t="n">
        <v>101</v>
      </c>
      <c r="C2" s="3" t="n">
        <v>46027</v>
      </c>
      <c r="D2" s="4" t="s">
        <v>7</v>
      </c>
      <c r="E2" s="2" t="n">
        <v>1</v>
      </c>
      <c r="F2" s="4" t="s">
        <v>8</v>
      </c>
      <c r="G2" s="4" t="s">
        <v>9</v>
      </c>
      <c r="H2" s="4" t="s">
        <v>52</v>
      </c>
      <c r="I2" s="4" t="s">
        <v>53</v>
      </c>
      <c r="J2" s="2" t="n">
        <v>500</v>
      </c>
      <c r="K2" s="2" t="n">
        <v>700</v>
      </c>
      <c r="L2" s="4" t="s">
        <v>27</v>
      </c>
      <c r="M2" s="4" t="s">
        <v>28</v>
      </c>
      <c r="N2" s="4" t="s">
        <v>29</v>
      </c>
      <c r="O2" s="4" t="s">
        <v>30</v>
      </c>
      <c r="P2" s="3" t="n">
        <v>45306</v>
      </c>
      <c r="Q2" s="4" t="s">
        <v>65</v>
      </c>
      <c r="R2" s="4" t="s">
        <v>66</v>
      </c>
      <c r="S2" s="4" t="s">
        <v>28</v>
      </c>
      <c r="T2" s="5" t="n">
        <f aca="false">E2*K2</f>
        <v>700</v>
      </c>
      <c r="U2" s="5" t="n">
        <f aca="false">E2*J2</f>
        <v>500</v>
      </c>
      <c r="V2" s="5" t="n">
        <f aca="false">T2-U2</f>
        <v>200</v>
      </c>
      <c r="W2" s="6" t="str">
        <f aca="false">TEXT(C2,"YYYY-MM")</f>
        <v>2026-01</v>
      </c>
    </row>
    <row r="3" customFormat="false" ht="15" hidden="false" customHeight="false" outlineLevel="0" collapsed="false">
      <c r="A3" s="2" t="n">
        <v>5002</v>
      </c>
      <c r="B3" s="2" t="n">
        <v>102</v>
      </c>
      <c r="C3" s="3" t="n">
        <v>46034</v>
      </c>
      <c r="D3" s="4" t="s">
        <v>10</v>
      </c>
      <c r="E3" s="2" t="n">
        <v>3</v>
      </c>
      <c r="F3" s="4" t="s">
        <v>11</v>
      </c>
      <c r="G3" s="4" t="s">
        <v>12</v>
      </c>
      <c r="H3" s="4" t="s">
        <v>54</v>
      </c>
      <c r="I3" s="4" t="s">
        <v>53</v>
      </c>
      <c r="J3" s="2" t="n">
        <v>50</v>
      </c>
      <c r="K3" s="2" t="n">
        <v>90</v>
      </c>
      <c r="L3" s="4" t="s">
        <v>31</v>
      </c>
      <c r="M3" s="4" t="s">
        <v>32</v>
      </c>
      <c r="N3" s="4" t="s">
        <v>33</v>
      </c>
      <c r="O3" s="4" t="s">
        <v>34</v>
      </c>
      <c r="P3" s="3" t="n">
        <v>45332</v>
      </c>
      <c r="Q3" s="4" t="s">
        <v>67</v>
      </c>
      <c r="R3" s="4" t="s">
        <v>66</v>
      </c>
      <c r="S3" s="4" t="s">
        <v>32</v>
      </c>
      <c r="T3" s="5" t="n">
        <f aca="false">E3*K3</f>
        <v>270</v>
      </c>
      <c r="U3" s="5" t="n">
        <f aca="false">E3*J3</f>
        <v>150</v>
      </c>
      <c r="V3" s="5" t="n">
        <f aca="false">T3-U3</f>
        <v>120</v>
      </c>
      <c r="W3" s="6" t="str">
        <f aca="false">TEXT(C3,"YYYY-MM")</f>
        <v>2026-01</v>
      </c>
    </row>
    <row r="4" customFormat="false" ht="15" hidden="false" customHeight="false" outlineLevel="0" collapsed="false">
      <c r="A4" s="2" t="n">
        <v>5003</v>
      </c>
      <c r="B4" s="2" t="n">
        <v>103</v>
      </c>
      <c r="C4" s="3" t="n">
        <v>46042</v>
      </c>
      <c r="D4" s="4" t="s">
        <v>13</v>
      </c>
      <c r="E4" s="2" t="n">
        <v>2</v>
      </c>
      <c r="F4" s="4" t="s">
        <v>8</v>
      </c>
      <c r="G4" s="4" t="s">
        <v>14</v>
      </c>
      <c r="H4" s="4" t="s">
        <v>58</v>
      </c>
      <c r="I4" s="4" t="s">
        <v>53</v>
      </c>
      <c r="J4" s="2" t="n">
        <v>180</v>
      </c>
      <c r="K4" s="2" t="n">
        <v>280</v>
      </c>
      <c r="L4" s="4" t="s">
        <v>35</v>
      </c>
      <c r="M4" s="4" t="s">
        <v>36</v>
      </c>
      <c r="N4" s="4" t="s">
        <v>29</v>
      </c>
      <c r="O4" s="4" t="s">
        <v>30</v>
      </c>
      <c r="P4" s="3" t="n">
        <v>45356</v>
      </c>
      <c r="Q4" s="4" t="s">
        <v>37</v>
      </c>
      <c r="R4" s="4" t="s">
        <v>66</v>
      </c>
      <c r="S4" s="4" t="s">
        <v>36</v>
      </c>
      <c r="T4" s="5" t="n">
        <f aca="false">E4*K4</f>
        <v>560</v>
      </c>
      <c r="U4" s="5" t="n">
        <f aca="false">E4*J4</f>
        <v>360</v>
      </c>
      <c r="V4" s="5" t="n">
        <f aca="false">T4-U4</f>
        <v>200</v>
      </c>
      <c r="W4" s="6" t="str">
        <f aca="false">TEXT(C4,"YYYY-MM")</f>
        <v>2026-01</v>
      </c>
    </row>
    <row r="5" customFormat="false" ht="15" hidden="false" customHeight="false" outlineLevel="0" collapsed="false">
      <c r="A5" s="2" t="n">
        <v>5004</v>
      </c>
      <c r="B5" s="2" t="n">
        <v>104</v>
      </c>
      <c r="C5" s="3" t="n">
        <v>46056</v>
      </c>
      <c r="D5" s="4" t="s">
        <v>15</v>
      </c>
      <c r="E5" s="2" t="n">
        <v>1</v>
      </c>
      <c r="F5" s="4" t="s">
        <v>11</v>
      </c>
      <c r="G5" s="4" t="s">
        <v>12</v>
      </c>
      <c r="H5" s="4" t="s">
        <v>55</v>
      </c>
      <c r="I5" s="4" t="s">
        <v>56</v>
      </c>
      <c r="J5" s="2" t="n">
        <v>100</v>
      </c>
      <c r="K5" s="2" t="n">
        <v>180</v>
      </c>
      <c r="L5" s="4" t="s">
        <v>37</v>
      </c>
      <c r="M5" s="4" t="s">
        <v>38</v>
      </c>
      <c r="N5" s="4" t="s">
        <v>33</v>
      </c>
      <c r="O5" s="4" t="s">
        <v>34</v>
      </c>
      <c r="P5" s="3" t="n">
        <v>45402</v>
      </c>
      <c r="Q5" s="4" t="s">
        <v>67</v>
      </c>
      <c r="R5" s="4" t="s">
        <v>66</v>
      </c>
      <c r="S5" s="4" t="s">
        <v>32</v>
      </c>
      <c r="T5" s="5" t="n">
        <f aca="false">E5*K5</f>
        <v>180</v>
      </c>
      <c r="U5" s="5" t="n">
        <f aca="false">E5*J5</f>
        <v>100</v>
      </c>
      <c r="V5" s="5" t="n">
        <f aca="false">T5-U5</f>
        <v>80</v>
      </c>
      <c r="W5" s="6" t="str">
        <f aca="false">TEXT(C5,"YYYY-MM")</f>
        <v>2026-02</v>
      </c>
    </row>
    <row r="6" customFormat="false" ht="15" hidden="false" customHeight="false" outlineLevel="0" collapsed="false">
      <c r="A6" s="2" t="n">
        <v>5005</v>
      </c>
      <c r="B6" s="2" t="n">
        <v>105</v>
      </c>
      <c r="C6" s="3" t="n">
        <v>46068</v>
      </c>
      <c r="D6" s="4" t="s">
        <v>7</v>
      </c>
      <c r="E6" s="2" t="n">
        <v>2</v>
      </c>
      <c r="F6" s="4" t="s">
        <v>8</v>
      </c>
      <c r="G6" s="4" t="s">
        <v>16</v>
      </c>
      <c r="H6" s="4" t="s">
        <v>52</v>
      </c>
      <c r="I6" s="4" t="s">
        <v>53</v>
      </c>
      <c r="J6" s="2" t="n">
        <v>500</v>
      </c>
      <c r="K6" s="2" t="n">
        <v>700</v>
      </c>
      <c r="L6" s="4" t="s">
        <v>39</v>
      </c>
      <c r="M6" s="4" t="s">
        <v>40</v>
      </c>
      <c r="N6" s="4" t="s">
        <v>33</v>
      </c>
      <c r="O6" s="4" t="s">
        <v>30</v>
      </c>
      <c r="P6" s="3" t="n">
        <v>45424</v>
      </c>
      <c r="Q6" s="4" t="s">
        <v>68</v>
      </c>
      <c r="R6" s="4" t="s">
        <v>66</v>
      </c>
      <c r="S6" s="4" t="s">
        <v>40</v>
      </c>
      <c r="T6" s="5" t="n">
        <f aca="false">E6*K6</f>
        <v>1400</v>
      </c>
      <c r="U6" s="5" t="n">
        <f aca="false">E6*J6</f>
        <v>1000</v>
      </c>
      <c r="V6" s="5" t="n">
        <f aca="false">T6-U6</f>
        <v>400</v>
      </c>
      <c r="W6" s="6" t="str">
        <f aca="false">TEXT(C6,"YYYY-MM")</f>
        <v>2026-02</v>
      </c>
    </row>
    <row r="7" customFormat="false" ht="15" hidden="false" customHeight="false" outlineLevel="0" collapsed="false">
      <c r="A7" s="2" t="n">
        <v>5006</v>
      </c>
      <c r="B7" s="2" t="n">
        <v>106</v>
      </c>
      <c r="C7" s="3" t="n">
        <v>46078</v>
      </c>
      <c r="D7" s="4" t="s">
        <v>17</v>
      </c>
      <c r="E7" s="2" t="n">
        <v>5</v>
      </c>
      <c r="F7" s="4" t="s">
        <v>8</v>
      </c>
      <c r="G7" s="4" t="s">
        <v>9</v>
      </c>
      <c r="H7" s="4" t="s">
        <v>59</v>
      </c>
      <c r="I7" s="4" t="s">
        <v>60</v>
      </c>
      <c r="J7" s="2" t="n">
        <v>30</v>
      </c>
      <c r="K7" s="2" t="n">
        <v>60</v>
      </c>
      <c r="L7" s="4" t="s">
        <v>41</v>
      </c>
      <c r="M7" s="4" t="s">
        <v>28</v>
      </c>
      <c r="N7" s="4" t="s">
        <v>29</v>
      </c>
      <c r="O7" s="4" t="s">
        <v>34</v>
      </c>
      <c r="P7" s="3" t="n">
        <v>45461</v>
      </c>
      <c r="Q7" s="4" t="s">
        <v>65</v>
      </c>
      <c r="R7" s="4" t="s">
        <v>66</v>
      </c>
      <c r="S7" s="4" t="s">
        <v>28</v>
      </c>
      <c r="T7" s="5" t="n">
        <f aca="false">E7*K7</f>
        <v>300</v>
      </c>
      <c r="U7" s="5" t="n">
        <f aca="false">E7*J7</f>
        <v>150</v>
      </c>
      <c r="V7" s="5" t="n">
        <f aca="false">T7-U7</f>
        <v>150</v>
      </c>
      <c r="W7" s="6" t="str">
        <f aca="false">TEXT(C7,"YYYY-MM")</f>
        <v>2026-02</v>
      </c>
    </row>
    <row r="8" customFormat="false" ht="15" hidden="false" customHeight="false" outlineLevel="0" collapsed="false">
      <c r="A8" s="2" t="n">
        <v>5007</v>
      </c>
      <c r="B8" s="2" t="n">
        <v>107</v>
      </c>
      <c r="C8" s="3" t="n">
        <v>46083</v>
      </c>
      <c r="D8" s="4" t="s">
        <v>18</v>
      </c>
      <c r="E8" s="2" t="n">
        <v>1</v>
      </c>
      <c r="F8" s="4" t="s">
        <v>11</v>
      </c>
      <c r="G8" s="4" t="s">
        <v>12</v>
      </c>
      <c r="H8" s="4" t="s">
        <v>62</v>
      </c>
      <c r="I8" s="4" t="s">
        <v>53</v>
      </c>
      <c r="J8" s="2" t="n">
        <v>200</v>
      </c>
      <c r="K8" s="2" t="n">
        <v>320</v>
      </c>
      <c r="L8" s="4" t="s">
        <v>42</v>
      </c>
      <c r="M8" s="4" t="s">
        <v>32</v>
      </c>
      <c r="N8" s="4" t="s">
        <v>33</v>
      </c>
      <c r="O8" s="4" t="s">
        <v>30</v>
      </c>
      <c r="P8" s="3" t="n">
        <v>45495</v>
      </c>
      <c r="Q8" s="4" t="s">
        <v>67</v>
      </c>
      <c r="R8" s="4" t="s">
        <v>66</v>
      </c>
      <c r="S8" s="4" t="s">
        <v>32</v>
      </c>
      <c r="T8" s="5" t="n">
        <f aca="false">E8*K8</f>
        <v>320</v>
      </c>
      <c r="U8" s="5" t="n">
        <f aca="false">E8*J8</f>
        <v>200</v>
      </c>
      <c r="V8" s="5" t="n">
        <f aca="false">T8-U8</f>
        <v>120</v>
      </c>
      <c r="W8" s="6" t="str">
        <f aca="false">TEXT(C8,"YYYY-MM")</f>
        <v>2026-03</v>
      </c>
    </row>
    <row r="9" customFormat="false" ht="15" hidden="false" customHeight="false" outlineLevel="0" collapsed="false">
      <c r="A9" s="2" t="n">
        <v>5008</v>
      </c>
      <c r="B9" s="2" t="n">
        <v>108</v>
      </c>
      <c r="C9" s="3" t="n">
        <v>46099</v>
      </c>
      <c r="D9" s="4" t="s">
        <v>19</v>
      </c>
      <c r="E9" s="2" t="n">
        <v>2</v>
      </c>
      <c r="F9" s="4" t="s">
        <v>11</v>
      </c>
      <c r="G9" s="4" t="s">
        <v>9</v>
      </c>
      <c r="H9" s="4" t="s">
        <v>57</v>
      </c>
      <c r="I9" s="4" t="s">
        <v>56</v>
      </c>
      <c r="J9" s="2" t="n">
        <v>150</v>
      </c>
      <c r="K9" s="2" t="n">
        <v>250</v>
      </c>
      <c r="L9" s="4" t="s">
        <v>43</v>
      </c>
      <c r="M9" s="4" t="s">
        <v>44</v>
      </c>
      <c r="N9" s="4" t="s">
        <v>29</v>
      </c>
      <c r="O9" s="4" t="s">
        <v>34</v>
      </c>
      <c r="P9" s="3" t="n">
        <v>45518</v>
      </c>
      <c r="Q9" s="4" t="s">
        <v>65</v>
      </c>
      <c r="R9" s="4" t="s">
        <v>66</v>
      </c>
      <c r="S9" s="4" t="s">
        <v>28</v>
      </c>
      <c r="T9" s="5" t="n">
        <f aca="false">E9*K9</f>
        <v>500</v>
      </c>
      <c r="U9" s="5" t="n">
        <f aca="false">E9*J9</f>
        <v>300</v>
      </c>
      <c r="V9" s="5" t="n">
        <f aca="false">T9-U9</f>
        <v>200</v>
      </c>
      <c r="W9" s="6" t="str">
        <f aca="false">TEXT(C9,"YYYY-MM")</f>
        <v>2026-03</v>
      </c>
    </row>
    <row r="10" customFormat="false" ht="15" hidden="false" customHeight="false" outlineLevel="0" collapsed="false">
      <c r="A10" s="2" t="n">
        <v>5009</v>
      </c>
      <c r="B10" s="2" t="n">
        <v>109</v>
      </c>
      <c r="C10" s="3" t="n">
        <v>46109</v>
      </c>
      <c r="D10" s="4" t="s">
        <v>7</v>
      </c>
      <c r="E10" s="2" t="n">
        <v>1</v>
      </c>
      <c r="F10" s="4" t="s">
        <v>8</v>
      </c>
      <c r="G10" s="4" t="s">
        <v>9</v>
      </c>
      <c r="H10" s="4" t="s">
        <v>52</v>
      </c>
      <c r="I10" s="4" t="s">
        <v>53</v>
      </c>
      <c r="J10" s="2" t="n">
        <v>500</v>
      </c>
      <c r="K10" s="2" t="n">
        <v>700</v>
      </c>
      <c r="L10" s="4" t="s">
        <v>45</v>
      </c>
      <c r="M10" s="4" t="s">
        <v>28</v>
      </c>
      <c r="N10" s="4" t="s">
        <v>29</v>
      </c>
      <c r="O10" s="4" t="s">
        <v>30</v>
      </c>
      <c r="P10" s="3" t="n">
        <v>45536</v>
      </c>
      <c r="Q10" s="4" t="s">
        <v>65</v>
      </c>
      <c r="R10" s="4" t="s">
        <v>66</v>
      </c>
      <c r="S10" s="4" t="s">
        <v>28</v>
      </c>
      <c r="T10" s="5" t="n">
        <f aca="false">E10*K10</f>
        <v>700</v>
      </c>
      <c r="U10" s="5" t="n">
        <f aca="false">E10*J10</f>
        <v>500</v>
      </c>
      <c r="V10" s="5" t="n">
        <f aca="false">T10-U10</f>
        <v>200</v>
      </c>
      <c r="W10" s="6" t="str">
        <f aca="false">TEXT(C10,"YYYY-MM")</f>
        <v>2026-03</v>
      </c>
    </row>
    <row r="11" customFormat="false" ht="15" hidden="false" customHeight="false" outlineLevel="0" collapsed="false">
      <c r="A11" s="2" t="n">
        <v>5010</v>
      </c>
      <c r="B11" s="2" t="n">
        <v>110</v>
      </c>
      <c r="C11" s="3" t="n">
        <v>46117</v>
      </c>
      <c r="D11" s="4" t="s">
        <v>20</v>
      </c>
      <c r="E11" s="2" t="n">
        <v>4</v>
      </c>
      <c r="F11" s="4" t="s">
        <v>8</v>
      </c>
      <c r="G11" s="4" t="s">
        <v>21</v>
      </c>
      <c r="H11" s="4" t="s">
        <v>61</v>
      </c>
      <c r="I11" s="4" t="s">
        <v>60</v>
      </c>
      <c r="J11" s="2" t="n">
        <v>20</v>
      </c>
      <c r="K11" s="2" t="n">
        <v>40</v>
      </c>
      <c r="L11" s="4" t="s">
        <v>46</v>
      </c>
      <c r="M11" s="4" t="s">
        <v>47</v>
      </c>
      <c r="N11" s="4" t="s">
        <v>33</v>
      </c>
      <c r="O11" s="4" t="s">
        <v>34</v>
      </c>
      <c r="P11" s="3" t="n">
        <v>45576</v>
      </c>
      <c r="Q11" s="4" t="s">
        <v>41</v>
      </c>
      <c r="R11" s="4" t="s">
        <v>66</v>
      </c>
      <c r="S11" s="4" t="s">
        <v>38</v>
      </c>
      <c r="T11" s="5" t="n">
        <f aca="false">E11*K11</f>
        <v>160</v>
      </c>
      <c r="U11" s="5" t="n">
        <f aca="false">E11*J11</f>
        <v>80</v>
      </c>
      <c r="V11" s="5" t="n">
        <f aca="false">T11-U11</f>
        <v>80</v>
      </c>
      <c r="W11" s="6" t="str">
        <f aca="false">TEXT(C11,"YYYY-MM")</f>
        <v>2026-04</v>
      </c>
    </row>
    <row r="12" customFormat="false" ht="15" hidden="false" customHeight="false" outlineLevel="0" collapsed="false">
      <c r="A12" s="2" t="n">
        <v>5011</v>
      </c>
      <c r="B12" s="2" t="n">
        <v>101</v>
      </c>
      <c r="C12" s="3" t="n">
        <v>46127</v>
      </c>
      <c r="D12" s="4" t="s">
        <v>13</v>
      </c>
      <c r="E12" s="2" t="n">
        <v>1</v>
      </c>
      <c r="F12" s="4" t="s">
        <v>8</v>
      </c>
      <c r="G12" s="4" t="s">
        <v>9</v>
      </c>
      <c r="H12" s="4" t="s">
        <v>58</v>
      </c>
      <c r="I12" s="4" t="s">
        <v>53</v>
      </c>
      <c r="J12" s="2" t="n">
        <v>180</v>
      </c>
      <c r="K12" s="2" t="n">
        <v>280</v>
      </c>
      <c r="L12" s="4" t="s">
        <v>27</v>
      </c>
      <c r="M12" s="4" t="s">
        <v>28</v>
      </c>
      <c r="N12" s="4" t="s">
        <v>29</v>
      </c>
      <c r="O12" s="4" t="s">
        <v>30</v>
      </c>
      <c r="P12" s="3" t="n">
        <v>45306</v>
      </c>
      <c r="Q12" s="4" t="s">
        <v>65</v>
      </c>
      <c r="R12" s="4" t="s">
        <v>66</v>
      </c>
      <c r="S12" s="4" t="s">
        <v>28</v>
      </c>
      <c r="T12" s="5" t="n">
        <f aca="false">E12*K12</f>
        <v>280</v>
      </c>
      <c r="U12" s="5" t="n">
        <f aca="false">E12*J12</f>
        <v>180</v>
      </c>
      <c r="V12" s="5" t="n">
        <f aca="false">T12-U12</f>
        <v>100</v>
      </c>
      <c r="W12" s="6" t="str">
        <f aca="false">TEXT(C12,"YYYY-MM")</f>
        <v>2026-04</v>
      </c>
    </row>
    <row r="13" customFormat="false" ht="15" hidden="false" customHeight="false" outlineLevel="0" collapsed="false">
      <c r="A13" s="2" t="n">
        <v>5012</v>
      </c>
      <c r="B13" s="2" t="n">
        <v>102</v>
      </c>
      <c r="C13" s="3" t="n">
        <v>46134</v>
      </c>
      <c r="D13" s="4" t="s">
        <v>15</v>
      </c>
      <c r="E13" s="2" t="n">
        <v>2</v>
      </c>
      <c r="F13" s="4" t="s">
        <v>11</v>
      </c>
      <c r="G13" s="4" t="s">
        <v>12</v>
      </c>
      <c r="H13" s="4" t="s">
        <v>55</v>
      </c>
      <c r="I13" s="4" t="s">
        <v>56</v>
      </c>
      <c r="J13" s="2" t="n">
        <v>100</v>
      </c>
      <c r="K13" s="2" t="n">
        <v>180</v>
      </c>
      <c r="L13" s="4" t="s">
        <v>31</v>
      </c>
      <c r="M13" s="4" t="s">
        <v>32</v>
      </c>
      <c r="N13" s="4" t="s">
        <v>33</v>
      </c>
      <c r="O13" s="4" t="s">
        <v>34</v>
      </c>
      <c r="P13" s="3" t="n">
        <v>45332</v>
      </c>
      <c r="Q13" s="4" t="s">
        <v>67</v>
      </c>
      <c r="R13" s="4" t="s">
        <v>66</v>
      </c>
      <c r="S13" s="4" t="s">
        <v>32</v>
      </c>
      <c r="T13" s="5" t="n">
        <f aca="false">E13*K13</f>
        <v>360</v>
      </c>
      <c r="U13" s="5" t="n">
        <f aca="false">E13*J13</f>
        <v>200</v>
      </c>
      <c r="V13" s="5" t="n">
        <f aca="false">T13-U13</f>
        <v>160</v>
      </c>
      <c r="W13" s="6" t="str">
        <f aca="false">TEXT(C13,"YYYY-MM")</f>
        <v>2026-04</v>
      </c>
    </row>
    <row r="14" customFormat="false" ht="15" hidden="false" customHeight="false" outlineLevel="0" collapsed="false">
      <c r="A14" s="2" t="n">
        <v>5013</v>
      </c>
      <c r="B14" s="2" t="n">
        <v>103</v>
      </c>
      <c r="C14" s="3" t="n">
        <v>46145</v>
      </c>
      <c r="D14" s="4" t="s">
        <v>7</v>
      </c>
      <c r="E14" s="2" t="n">
        <v>1</v>
      </c>
      <c r="F14" s="4" t="s">
        <v>8</v>
      </c>
      <c r="G14" s="4" t="s">
        <v>14</v>
      </c>
      <c r="H14" s="4" t="s">
        <v>52</v>
      </c>
      <c r="I14" s="4" t="s">
        <v>53</v>
      </c>
      <c r="J14" s="2" t="n">
        <v>500</v>
      </c>
      <c r="K14" s="2" t="n">
        <v>700</v>
      </c>
      <c r="L14" s="4" t="s">
        <v>35</v>
      </c>
      <c r="M14" s="4" t="s">
        <v>36</v>
      </c>
      <c r="N14" s="4" t="s">
        <v>29</v>
      </c>
      <c r="O14" s="4" t="s">
        <v>30</v>
      </c>
      <c r="P14" s="3" t="n">
        <v>45356</v>
      </c>
      <c r="Q14" s="4" t="s">
        <v>37</v>
      </c>
      <c r="R14" s="4" t="s">
        <v>66</v>
      </c>
      <c r="S14" s="4" t="s">
        <v>36</v>
      </c>
      <c r="T14" s="5" t="n">
        <f aca="false">E14*K14</f>
        <v>700</v>
      </c>
      <c r="U14" s="5" t="n">
        <f aca="false">E14*J14</f>
        <v>500</v>
      </c>
      <c r="V14" s="5" t="n">
        <f aca="false">T14-U14</f>
        <v>200</v>
      </c>
      <c r="W14" s="6" t="str">
        <f aca="false">TEXT(C14,"YYYY-MM")</f>
        <v>2026-05</v>
      </c>
    </row>
    <row r="15" customFormat="false" ht="15" hidden="false" customHeight="false" outlineLevel="0" collapsed="false">
      <c r="A15" s="2" t="n">
        <v>5014</v>
      </c>
      <c r="B15" s="2" t="n">
        <v>105</v>
      </c>
      <c r="C15" s="3" t="n">
        <v>46159</v>
      </c>
      <c r="D15" s="4" t="s">
        <v>19</v>
      </c>
      <c r="E15" s="2" t="n">
        <v>3</v>
      </c>
      <c r="F15" s="4" t="s">
        <v>11</v>
      </c>
      <c r="G15" s="4" t="s">
        <v>16</v>
      </c>
      <c r="H15" s="4" t="s">
        <v>57</v>
      </c>
      <c r="I15" s="4" t="s">
        <v>56</v>
      </c>
      <c r="J15" s="2" t="n">
        <v>150</v>
      </c>
      <c r="K15" s="2" t="n">
        <v>250</v>
      </c>
      <c r="L15" s="4" t="s">
        <v>39</v>
      </c>
      <c r="M15" s="4" t="s">
        <v>40</v>
      </c>
      <c r="N15" s="4" t="s">
        <v>33</v>
      </c>
      <c r="O15" s="4" t="s">
        <v>30</v>
      </c>
      <c r="P15" s="3" t="n">
        <v>45424</v>
      </c>
      <c r="Q15" s="4" t="s">
        <v>68</v>
      </c>
      <c r="R15" s="4" t="s">
        <v>66</v>
      </c>
      <c r="S15" s="4" t="s">
        <v>40</v>
      </c>
      <c r="T15" s="5" t="n">
        <f aca="false">E15*K15</f>
        <v>750</v>
      </c>
      <c r="U15" s="5" t="n">
        <f aca="false">E15*J15</f>
        <v>450</v>
      </c>
      <c r="V15" s="5" t="n">
        <f aca="false">T15-U15</f>
        <v>300</v>
      </c>
      <c r="W15" s="6" t="str">
        <f aca="false">TEXT(C15,"YYYY-MM")</f>
        <v>2026-05</v>
      </c>
    </row>
    <row r="16" customFormat="false" ht="15" hidden="false" customHeight="false" outlineLevel="0" collapsed="false">
      <c r="A16" s="2" t="n">
        <v>5015</v>
      </c>
      <c r="B16" s="2" t="n">
        <v>106</v>
      </c>
      <c r="C16" s="3" t="n">
        <v>46171</v>
      </c>
      <c r="D16" s="4" t="s">
        <v>10</v>
      </c>
      <c r="E16" s="2" t="n">
        <v>4</v>
      </c>
      <c r="F16" s="4" t="s">
        <v>8</v>
      </c>
      <c r="G16" s="4" t="s">
        <v>9</v>
      </c>
      <c r="H16" s="4" t="s">
        <v>54</v>
      </c>
      <c r="I16" s="4" t="s">
        <v>53</v>
      </c>
      <c r="J16" s="2" t="n">
        <v>50</v>
      </c>
      <c r="K16" s="2" t="n">
        <v>90</v>
      </c>
      <c r="L16" s="4" t="s">
        <v>41</v>
      </c>
      <c r="M16" s="4" t="s">
        <v>28</v>
      </c>
      <c r="N16" s="4" t="s">
        <v>29</v>
      </c>
      <c r="O16" s="4" t="s">
        <v>34</v>
      </c>
      <c r="P16" s="3" t="n">
        <v>45461</v>
      </c>
      <c r="Q16" s="4" t="s">
        <v>65</v>
      </c>
      <c r="R16" s="4" t="s">
        <v>66</v>
      </c>
      <c r="S16" s="4" t="s">
        <v>28</v>
      </c>
      <c r="T16" s="5" t="n">
        <f aca="false">E16*K16</f>
        <v>360</v>
      </c>
      <c r="U16" s="5" t="n">
        <f aca="false">E16*J16</f>
        <v>200</v>
      </c>
      <c r="V16" s="5" t="n">
        <f aca="false">T16-U16</f>
        <v>160</v>
      </c>
      <c r="W16" s="6" t="str">
        <f aca="false">TEXT(C16,"YYYY-MM")</f>
        <v>2026-05</v>
      </c>
    </row>
    <row r="17" customFormat="false" ht="15" hidden="false" customHeight="false" outlineLevel="0" collapsed="false">
      <c r="A17" s="2" t="n">
        <v>5016</v>
      </c>
      <c r="B17" s="2" t="n">
        <v>107</v>
      </c>
      <c r="C17" s="3" t="n">
        <v>46179</v>
      </c>
      <c r="D17" s="4" t="s">
        <v>13</v>
      </c>
      <c r="E17" s="2" t="n">
        <v>2</v>
      </c>
      <c r="F17" s="4" t="s">
        <v>8</v>
      </c>
      <c r="G17" s="4" t="s">
        <v>12</v>
      </c>
      <c r="H17" s="4" t="s">
        <v>58</v>
      </c>
      <c r="I17" s="4" t="s">
        <v>53</v>
      </c>
      <c r="J17" s="2" t="n">
        <v>180</v>
      </c>
      <c r="K17" s="2" t="n">
        <v>280</v>
      </c>
      <c r="L17" s="4" t="s">
        <v>42</v>
      </c>
      <c r="M17" s="4" t="s">
        <v>32</v>
      </c>
      <c r="N17" s="4" t="s">
        <v>33</v>
      </c>
      <c r="O17" s="4" t="s">
        <v>30</v>
      </c>
      <c r="P17" s="3" t="n">
        <v>45495</v>
      </c>
      <c r="Q17" s="4" t="s">
        <v>67</v>
      </c>
      <c r="R17" s="4" t="s">
        <v>66</v>
      </c>
      <c r="S17" s="4" t="s">
        <v>32</v>
      </c>
      <c r="T17" s="5" t="n">
        <f aca="false">E17*K17</f>
        <v>560</v>
      </c>
      <c r="U17" s="5" t="n">
        <f aca="false">E17*J17</f>
        <v>360</v>
      </c>
      <c r="V17" s="5" t="n">
        <f aca="false">T17-U17</f>
        <v>200</v>
      </c>
      <c r="W17" s="6" t="str">
        <f aca="false">TEXT(C17,"YYYY-MM")</f>
        <v>2026-06</v>
      </c>
    </row>
    <row r="18" customFormat="false" ht="15" hidden="false" customHeight="false" outlineLevel="0" collapsed="false">
      <c r="A18" s="2" t="n">
        <v>5017</v>
      </c>
      <c r="B18" s="2" t="n">
        <v>109</v>
      </c>
      <c r="C18" s="3" t="n">
        <v>46188</v>
      </c>
      <c r="D18" s="4" t="s">
        <v>18</v>
      </c>
      <c r="E18" s="2" t="n">
        <v>2</v>
      </c>
      <c r="F18" s="4" t="s">
        <v>11</v>
      </c>
      <c r="G18" s="4" t="s">
        <v>9</v>
      </c>
      <c r="H18" s="4" t="s">
        <v>62</v>
      </c>
      <c r="I18" s="4" t="s">
        <v>53</v>
      </c>
      <c r="J18" s="2" t="n">
        <v>200</v>
      </c>
      <c r="K18" s="2" t="n">
        <v>320</v>
      </c>
      <c r="L18" s="4" t="s">
        <v>45</v>
      </c>
      <c r="M18" s="4" t="s">
        <v>28</v>
      </c>
      <c r="N18" s="4" t="s">
        <v>29</v>
      </c>
      <c r="O18" s="4" t="s">
        <v>30</v>
      </c>
      <c r="P18" s="3" t="n">
        <v>45536</v>
      </c>
      <c r="Q18" s="4" t="s">
        <v>65</v>
      </c>
      <c r="R18" s="4" t="s">
        <v>66</v>
      </c>
      <c r="S18" s="4" t="s">
        <v>28</v>
      </c>
      <c r="T18" s="5" t="n">
        <f aca="false">E18*K18</f>
        <v>640</v>
      </c>
      <c r="U18" s="5" t="n">
        <f aca="false">E18*J18</f>
        <v>400</v>
      </c>
      <c r="V18" s="5" t="n">
        <f aca="false">T18-U18</f>
        <v>240</v>
      </c>
      <c r="W18" s="6" t="str">
        <f aca="false">TEXT(C18,"YYYY-MM")</f>
        <v>2026-06</v>
      </c>
    </row>
    <row r="19" customFormat="false" ht="15" hidden="false" customHeight="false" outlineLevel="0" collapsed="false">
      <c r="A19" s="2" t="n">
        <v>5018</v>
      </c>
      <c r="B19" s="2" t="n">
        <v>101</v>
      </c>
      <c r="C19" s="3" t="n">
        <v>46204</v>
      </c>
      <c r="D19" s="4" t="s">
        <v>7</v>
      </c>
      <c r="E19" s="2" t="n">
        <v>2</v>
      </c>
      <c r="F19" s="4" t="s">
        <v>8</v>
      </c>
      <c r="G19" s="4" t="s">
        <v>9</v>
      </c>
      <c r="H19" s="4" t="s">
        <v>52</v>
      </c>
      <c r="I19" s="4" t="s">
        <v>53</v>
      </c>
      <c r="J19" s="2" t="n">
        <v>500</v>
      </c>
      <c r="K19" s="2" t="n">
        <v>700</v>
      </c>
      <c r="L19" s="4" t="s">
        <v>27</v>
      </c>
      <c r="M19" s="4" t="s">
        <v>28</v>
      </c>
      <c r="N19" s="4" t="s">
        <v>29</v>
      </c>
      <c r="O19" s="4" t="s">
        <v>30</v>
      </c>
      <c r="P19" s="3" t="n">
        <v>45306</v>
      </c>
      <c r="Q19" s="4" t="s">
        <v>65</v>
      </c>
      <c r="R19" s="4" t="s">
        <v>66</v>
      </c>
      <c r="S19" s="4" t="s">
        <v>28</v>
      </c>
      <c r="T19" s="5" t="n">
        <f aca="false">E19*K19</f>
        <v>1400</v>
      </c>
      <c r="U19" s="5" t="n">
        <f aca="false">E19*J19</f>
        <v>1000</v>
      </c>
      <c r="V19" s="5" t="n">
        <f aca="false">T19-U19</f>
        <v>400</v>
      </c>
      <c r="W19" s="6" t="str">
        <f aca="false">TEXT(C19,"YYYY-MM")</f>
        <v>2026-07</v>
      </c>
    </row>
    <row r="20" customFormat="false" ht="15" hidden="false" customHeight="false" outlineLevel="0" collapsed="false">
      <c r="A20" s="2" t="n">
        <v>5019</v>
      </c>
      <c r="B20" s="2" t="n">
        <v>104</v>
      </c>
      <c r="C20" s="3" t="n">
        <v>46215</v>
      </c>
      <c r="D20" s="4" t="s">
        <v>17</v>
      </c>
      <c r="E20" s="2" t="n">
        <v>6</v>
      </c>
      <c r="F20" s="4" t="s">
        <v>11</v>
      </c>
      <c r="G20" s="4" t="s">
        <v>12</v>
      </c>
      <c r="H20" s="4" t="s">
        <v>59</v>
      </c>
      <c r="I20" s="4" t="s">
        <v>60</v>
      </c>
      <c r="J20" s="2" t="n">
        <v>30</v>
      </c>
      <c r="K20" s="2" t="n">
        <v>60</v>
      </c>
      <c r="L20" s="4" t="s">
        <v>37</v>
      </c>
      <c r="M20" s="4" t="s">
        <v>38</v>
      </c>
      <c r="N20" s="4" t="s">
        <v>33</v>
      </c>
      <c r="O20" s="4" t="s">
        <v>34</v>
      </c>
      <c r="P20" s="3" t="n">
        <v>45402</v>
      </c>
      <c r="Q20" s="4" t="s">
        <v>67</v>
      </c>
      <c r="R20" s="4" t="s">
        <v>66</v>
      </c>
      <c r="S20" s="4" t="s">
        <v>32</v>
      </c>
      <c r="T20" s="5" t="n">
        <f aca="false">E20*K20</f>
        <v>360</v>
      </c>
      <c r="U20" s="5" t="n">
        <f aca="false">E20*J20</f>
        <v>180</v>
      </c>
      <c r="V20" s="5" t="n">
        <f aca="false">T20-U20</f>
        <v>180</v>
      </c>
      <c r="W20" s="6" t="str">
        <f aca="false">TEXT(C20,"YYYY-MM")</f>
        <v>2026-07</v>
      </c>
    </row>
    <row r="21" customFormat="false" ht="15" hidden="false" customHeight="false" outlineLevel="0" collapsed="false">
      <c r="A21" s="2" t="n">
        <v>5020</v>
      </c>
      <c r="B21" s="2" t="n">
        <v>108</v>
      </c>
      <c r="C21" s="3" t="n">
        <v>46228</v>
      </c>
      <c r="D21" s="4" t="s">
        <v>15</v>
      </c>
      <c r="E21" s="2" t="n">
        <v>1</v>
      </c>
      <c r="F21" s="4" t="s">
        <v>11</v>
      </c>
      <c r="G21" s="4" t="s">
        <v>9</v>
      </c>
      <c r="H21" s="4" t="s">
        <v>55</v>
      </c>
      <c r="I21" s="4" t="s">
        <v>56</v>
      </c>
      <c r="J21" s="2" t="n">
        <v>100</v>
      </c>
      <c r="K21" s="2" t="n">
        <v>180</v>
      </c>
      <c r="L21" s="4" t="s">
        <v>43</v>
      </c>
      <c r="M21" s="4" t="s">
        <v>44</v>
      </c>
      <c r="N21" s="4" t="s">
        <v>29</v>
      </c>
      <c r="O21" s="4" t="s">
        <v>34</v>
      </c>
      <c r="P21" s="3" t="n">
        <v>45518</v>
      </c>
      <c r="Q21" s="4" t="s">
        <v>65</v>
      </c>
      <c r="R21" s="4" t="s">
        <v>66</v>
      </c>
      <c r="S21" s="4" t="s">
        <v>28</v>
      </c>
      <c r="T21" s="5" t="n">
        <f aca="false">E21*K21</f>
        <v>180</v>
      </c>
      <c r="U21" s="5" t="n">
        <f aca="false">E21*J21</f>
        <v>100</v>
      </c>
      <c r="V21" s="5" t="n">
        <f aca="false">T21-U21</f>
        <v>80</v>
      </c>
      <c r="W21" s="6" t="str">
        <f aca="false">TEXT(C21,"YYYY-MM")</f>
        <v>2026-07</v>
      </c>
    </row>
    <row r="22" customFormat="false" ht="15" hidden="false" customHeight="false" outlineLevel="0" collapsed="false">
      <c r="A22" s="2" t="n">
        <v>5021</v>
      </c>
      <c r="B22" s="2" t="n">
        <v>103</v>
      </c>
      <c r="C22" s="3" t="n">
        <v>46237</v>
      </c>
      <c r="D22" s="4" t="s">
        <v>19</v>
      </c>
      <c r="E22" s="2" t="n">
        <v>2</v>
      </c>
      <c r="F22" s="4" t="s">
        <v>8</v>
      </c>
      <c r="G22" s="4" t="s">
        <v>14</v>
      </c>
      <c r="H22" s="4" t="s">
        <v>57</v>
      </c>
      <c r="I22" s="4" t="s">
        <v>56</v>
      </c>
      <c r="J22" s="2" t="n">
        <v>150</v>
      </c>
      <c r="K22" s="2" t="n">
        <v>250</v>
      </c>
      <c r="L22" s="4" t="s">
        <v>35</v>
      </c>
      <c r="M22" s="4" t="s">
        <v>36</v>
      </c>
      <c r="N22" s="4" t="s">
        <v>29</v>
      </c>
      <c r="O22" s="4" t="s">
        <v>30</v>
      </c>
      <c r="P22" s="3" t="n">
        <v>45356</v>
      </c>
      <c r="Q22" s="4" t="s">
        <v>37</v>
      </c>
      <c r="R22" s="4" t="s">
        <v>66</v>
      </c>
      <c r="S22" s="4" t="s">
        <v>36</v>
      </c>
      <c r="T22" s="5" t="n">
        <f aca="false">E22*K22</f>
        <v>500</v>
      </c>
      <c r="U22" s="5" t="n">
        <f aca="false">E22*J22</f>
        <v>300</v>
      </c>
      <c r="V22" s="5" t="n">
        <f aca="false">T22-U22</f>
        <v>200</v>
      </c>
      <c r="W22" s="6" t="str">
        <f aca="false">TEXT(C22,"YYYY-MM")</f>
        <v>2026-08</v>
      </c>
    </row>
    <row r="23" customFormat="false" ht="15" hidden="false" customHeight="false" outlineLevel="0" collapsed="false">
      <c r="A23" s="2" t="n">
        <v>5022</v>
      </c>
      <c r="B23" s="2" t="n">
        <v>105</v>
      </c>
      <c r="C23" s="3" t="n">
        <v>46248</v>
      </c>
      <c r="D23" s="4" t="s">
        <v>7</v>
      </c>
      <c r="E23" s="2" t="n">
        <v>3</v>
      </c>
      <c r="F23" s="4" t="s">
        <v>8</v>
      </c>
      <c r="G23" s="4" t="s">
        <v>16</v>
      </c>
      <c r="H23" s="4" t="s">
        <v>52</v>
      </c>
      <c r="I23" s="4" t="s">
        <v>53</v>
      </c>
      <c r="J23" s="2" t="n">
        <v>500</v>
      </c>
      <c r="K23" s="2" t="n">
        <v>700</v>
      </c>
      <c r="L23" s="4" t="s">
        <v>39</v>
      </c>
      <c r="M23" s="4" t="s">
        <v>40</v>
      </c>
      <c r="N23" s="4" t="s">
        <v>33</v>
      </c>
      <c r="O23" s="4" t="s">
        <v>30</v>
      </c>
      <c r="P23" s="3" t="n">
        <v>45424</v>
      </c>
      <c r="Q23" s="4" t="s">
        <v>68</v>
      </c>
      <c r="R23" s="4" t="s">
        <v>66</v>
      </c>
      <c r="S23" s="4" t="s">
        <v>40</v>
      </c>
      <c r="T23" s="5" t="n">
        <f aca="false">E23*K23</f>
        <v>2100</v>
      </c>
      <c r="U23" s="5" t="n">
        <f aca="false">E23*J23</f>
        <v>1500</v>
      </c>
      <c r="V23" s="5" t="n">
        <f aca="false">T23-U23</f>
        <v>600</v>
      </c>
      <c r="W23" s="6" t="str">
        <f aca="false">TEXT(C23,"YYYY-MM")</f>
        <v>2026-08</v>
      </c>
    </row>
    <row r="24" customFormat="false" ht="15" hidden="false" customHeight="false" outlineLevel="0" collapsed="false">
      <c r="A24" s="2" t="n">
        <v>5023</v>
      </c>
      <c r="B24" s="2" t="n">
        <v>106</v>
      </c>
      <c r="C24" s="3" t="n">
        <v>46256</v>
      </c>
      <c r="D24" s="4" t="s">
        <v>20</v>
      </c>
      <c r="E24" s="2" t="n">
        <v>5</v>
      </c>
      <c r="F24" s="4" t="s">
        <v>11</v>
      </c>
      <c r="G24" s="4" t="s">
        <v>9</v>
      </c>
      <c r="H24" s="4" t="s">
        <v>61</v>
      </c>
      <c r="I24" s="4" t="s">
        <v>60</v>
      </c>
      <c r="J24" s="2" t="n">
        <v>20</v>
      </c>
      <c r="K24" s="2" t="n">
        <v>40</v>
      </c>
      <c r="L24" s="4" t="s">
        <v>41</v>
      </c>
      <c r="M24" s="4" t="s">
        <v>28</v>
      </c>
      <c r="N24" s="4" t="s">
        <v>29</v>
      </c>
      <c r="O24" s="4" t="s">
        <v>34</v>
      </c>
      <c r="P24" s="3" t="n">
        <v>45461</v>
      </c>
      <c r="Q24" s="4" t="s">
        <v>65</v>
      </c>
      <c r="R24" s="4" t="s">
        <v>66</v>
      </c>
      <c r="S24" s="4" t="s">
        <v>28</v>
      </c>
      <c r="T24" s="5" t="n">
        <f aca="false">E24*K24</f>
        <v>200</v>
      </c>
      <c r="U24" s="5" t="n">
        <f aca="false">E24*J24</f>
        <v>100</v>
      </c>
      <c r="V24" s="5" t="n">
        <f aca="false">T24-U24</f>
        <v>100</v>
      </c>
      <c r="W24" s="6" t="str">
        <f aca="false">TEXT(C24,"YYYY-MM")</f>
        <v>2026-08</v>
      </c>
    </row>
    <row r="25" customFormat="false" ht="15" hidden="false" customHeight="false" outlineLevel="0" collapsed="false">
      <c r="A25" s="2" t="n">
        <v>5024</v>
      </c>
      <c r="B25" s="2" t="n">
        <v>109</v>
      </c>
      <c r="C25" s="3" t="n">
        <v>46270</v>
      </c>
      <c r="D25" s="4" t="s">
        <v>13</v>
      </c>
      <c r="E25" s="2" t="n">
        <v>3</v>
      </c>
      <c r="F25" s="4" t="s">
        <v>8</v>
      </c>
      <c r="G25" s="4" t="s">
        <v>9</v>
      </c>
      <c r="H25" s="4" t="s">
        <v>58</v>
      </c>
      <c r="I25" s="4" t="s">
        <v>53</v>
      </c>
      <c r="J25" s="2" t="n">
        <v>180</v>
      </c>
      <c r="K25" s="2" t="n">
        <v>280</v>
      </c>
      <c r="L25" s="4" t="s">
        <v>45</v>
      </c>
      <c r="M25" s="4" t="s">
        <v>28</v>
      </c>
      <c r="N25" s="4" t="s">
        <v>29</v>
      </c>
      <c r="O25" s="4" t="s">
        <v>30</v>
      </c>
      <c r="P25" s="3" t="n">
        <v>45536</v>
      </c>
      <c r="Q25" s="4" t="s">
        <v>65</v>
      </c>
      <c r="R25" s="4" t="s">
        <v>66</v>
      </c>
      <c r="S25" s="4" t="s">
        <v>28</v>
      </c>
      <c r="T25" s="5" t="n">
        <f aca="false">E25*K25</f>
        <v>840</v>
      </c>
      <c r="U25" s="5" t="n">
        <f aca="false">E25*J25</f>
        <v>540</v>
      </c>
      <c r="V25" s="5" t="n">
        <f aca="false">T25-U25</f>
        <v>300</v>
      </c>
      <c r="W25" s="6" t="str">
        <f aca="false">TEXT(C25,"YYYY-MM")</f>
        <v>2026-09</v>
      </c>
    </row>
    <row r="26" customFormat="false" ht="15" hidden="false" customHeight="false" outlineLevel="0" collapsed="false">
      <c r="A26" s="2" t="n">
        <v>5025</v>
      </c>
      <c r="B26" s="2" t="n">
        <v>102</v>
      </c>
      <c r="C26" s="3" t="n">
        <v>46283</v>
      </c>
      <c r="D26" s="4" t="s">
        <v>18</v>
      </c>
      <c r="E26" s="2" t="n">
        <v>1</v>
      </c>
      <c r="F26" s="4" t="s">
        <v>11</v>
      </c>
      <c r="G26" s="4" t="s">
        <v>12</v>
      </c>
      <c r="H26" s="4" t="s">
        <v>62</v>
      </c>
      <c r="I26" s="4" t="s">
        <v>53</v>
      </c>
      <c r="J26" s="2" t="n">
        <v>200</v>
      </c>
      <c r="K26" s="2" t="n">
        <v>320</v>
      </c>
      <c r="L26" s="4" t="s">
        <v>31</v>
      </c>
      <c r="M26" s="4" t="s">
        <v>32</v>
      </c>
      <c r="N26" s="4" t="s">
        <v>33</v>
      </c>
      <c r="O26" s="4" t="s">
        <v>34</v>
      </c>
      <c r="P26" s="3" t="n">
        <v>45332</v>
      </c>
      <c r="Q26" s="4" t="s">
        <v>67</v>
      </c>
      <c r="R26" s="4" t="s">
        <v>66</v>
      </c>
      <c r="S26" s="4" t="s">
        <v>32</v>
      </c>
      <c r="T26" s="5" t="n">
        <f aca="false">E26*K26</f>
        <v>320</v>
      </c>
      <c r="U26" s="5" t="n">
        <f aca="false">E26*J26</f>
        <v>200</v>
      </c>
      <c r="V26" s="5" t="n">
        <f aca="false">T26-U26</f>
        <v>120</v>
      </c>
      <c r="W26" s="6" t="str">
        <f aca="false">TEXT(C26,"YYYY-MM")</f>
        <v>2026-09</v>
      </c>
    </row>
    <row r="27" customFormat="false" ht="15" hidden="false" customHeight="false" outlineLevel="0" collapsed="false">
      <c r="A27" s="2" t="n">
        <v>5026</v>
      </c>
      <c r="B27" s="2" t="n">
        <v>110</v>
      </c>
      <c r="C27" s="3" t="n">
        <v>46290</v>
      </c>
      <c r="D27" s="4" t="s">
        <v>10</v>
      </c>
      <c r="E27" s="2" t="n">
        <v>2</v>
      </c>
      <c r="F27" s="4" t="s">
        <v>8</v>
      </c>
      <c r="G27" s="4" t="s">
        <v>21</v>
      </c>
      <c r="H27" s="4" t="s">
        <v>54</v>
      </c>
      <c r="I27" s="4" t="s">
        <v>53</v>
      </c>
      <c r="J27" s="2" t="n">
        <v>50</v>
      </c>
      <c r="K27" s="2" t="n">
        <v>90</v>
      </c>
      <c r="L27" s="4" t="s">
        <v>46</v>
      </c>
      <c r="M27" s="4" t="s">
        <v>47</v>
      </c>
      <c r="N27" s="4" t="s">
        <v>33</v>
      </c>
      <c r="O27" s="4" t="s">
        <v>34</v>
      </c>
      <c r="P27" s="3" t="n">
        <v>45576</v>
      </c>
      <c r="Q27" s="4" t="s">
        <v>41</v>
      </c>
      <c r="R27" s="4" t="s">
        <v>66</v>
      </c>
      <c r="S27" s="4" t="s">
        <v>38</v>
      </c>
      <c r="T27" s="5" t="n">
        <f aca="false">E27*K27</f>
        <v>180</v>
      </c>
      <c r="U27" s="5" t="n">
        <f aca="false">E27*J27</f>
        <v>100</v>
      </c>
      <c r="V27" s="5" t="n">
        <f aca="false">T27-U27</f>
        <v>80</v>
      </c>
      <c r="W27" s="6" t="str">
        <f aca="false">TEXT(C27,"YYYY-MM")</f>
        <v>2026-09</v>
      </c>
    </row>
    <row r="28" customFormat="false" ht="15" hidden="false" customHeight="false" outlineLevel="0" collapsed="false">
      <c r="A28" s="2" t="n">
        <v>5027</v>
      </c>
      <c r="B28" s="2" t="n">
        <v>101</v>
      </c>
      <c r="C28" s="3" t="n">
        <v>46297</v>
      </c>
      <c r="D28" s="4" t="s">
        <v>15</v>
      </c>
      <c r="E28" s="2" t="n">
        <v>2</v>
      </c>
      <c r="F28" s="4" t="s">
        <v>11</v>
      </c>
      <c r="G28" s="4" t="s">
        <v>9</v>
      </c>
      <c r="H28" s="4" t="s">
        <v>55</v>
      </c>
      <c r="I28" s="4" t="s">
        <v>56</v>
      </c>
      <c r="J28" s="2" t="n">
        <v>100</v>
      </c>
      <c r="K28" s="2" t="n">
        <v>180</v>
      </c>
      <c r="L28" s="4" t="s">
        <v>27</v>
      </c>
      <c r="M28" s="4" t="s">
        <v>28</v>
      </c>
      <c r="N28" s="4" t="s">
        <v>29</v>
      </c>
      <c r="O28" s="4" t="s">
        <v>30</v>
      </c>
      <c r="P28" s="3" t="n">
        <v>45306</v>
      </c>
      <c r="Q28" s="4" t="s">
        <v>65</v>
      </c>
      <c r="R28" s="4" t="s">
        <v>66</v>
      </c>
      <c r="S28" s="4" t="s">
        <v>28</v>
      </c>
      <c r="T28" s="5" t="n">
        <f aca="false">E28*K28</f>
        <v>360</v>
      </c>
      <c r="U28" s="5" t="n">
        <f aca="false">E28*J28</f>
        <v>200</v>
      </c>
      <c r="V28" s="5" t="n">
        <f aca="false">T28-U28</f>
        <v>160</v>
      </c>
      <c r="W28" s="6" t="str">
        <f aca="false">TEXT(C28,"YYYY-MM")</f>
        <v>2026-10</v>
      </c>
    </row>
    <row r="29" customFormat="false" ht="15" hidden="false" customHeight="false" outlineLevel="0" collapsed="false">
      <c r="A29" s="2" t="n">
        <v>5028</v>
      </c>
      <c r="B29" s="2" t="n">
        <v>107</v>
      </c>
      <c r="C29" s="3" t="n">
        <v>46306</v>
      </c>
      <c r="D29" s="4" t="s">
        <v>7</v>
      </c>
      <c r="E29" s="2" t="n">
        <v>1</v>
      </c>
      <c r="F29" s="4" t="s">
        <v>8</v>
      </c>
      <c r="G29" s="4" t="s">
        <v>12</v>
      </c>
      <c r="H29" s="4" t="s">
        <v>52</v>
      </c>
      <c r="I29" s="4" t="s">
        <v>53</v>
      </c>
      <c r="J29" s="2" t="n">
        <v>500</v>
      </c>
      <c r="K29" s="2" t="n">
        <v>700</v>
      </c>
      <c r="L29" s="4" t="s">
        <v>42</v>
      </c>
      <c r="M29" s="4" t="s">
        <v>32</v>
      </c>
      <c r="N29" s="4" t="s">
        <v>33</v>
      </c>
      <c r="O29" s="4" t="s">
        <v>30</v>
      </c>
      <c r="P29" s="3" t="n">
        <v>45495</v>
      </c>
      <c r="Q29" s="4" t="s">
        <v>67</v>
      </c>
      <c r="R29" s="4" t="s">
        <v>66</v>
      </c>
      <c r="S29" s="4" t="s">
        <v>32</v>
      </c>
      <c r="T29" s="5" t="n">
        <f aca="false">E29*K29</f>
        <v>700</v>
      </c>
      <c r="U29" s="5" t="n">
        <f aca="false">E29*J29</f>
        <v>500</v>
      </c>
      <c r="V29" s="5" t="n">
        <f aca="false">T29-U29</f>
        <v>200</v>
      </c>
      <c r="W29" s="6" t="str">
        <f aca="false">TEXT(C29,"YYYY-MM")</f>
        <v>2026-10</v>
      </c>
    </row>
    <row r="30" customFormat="false" ht="15" hidden="false" customHeight="false" outlineLevel="0" collapsed="false">
      <c r="A30" s="2" t="n">
        <v>5029</v>
      </c>
      <c r="B30" s="2" t="n">
        <v>108</v>
      </c>
      <c r="C30" s="3" t="n">
        <v>46314</v>
      </c>
      <c r="D30" s="4" t="s">
        <v>19</v>
      </c>
      <c r="E30" s="2" t="n">
        <v>3</v>
      </c>
      <c r="F30" s="4" t="s">
        <v>11</v>
      </c>
      <c r="G30" s="4" t="s">
        <v>9</v>
      </c>
      <c r="H30" s="4" t="s">
        <v>57</v>
      </c>
      <c r="I30" s="4" t="s">
        <v>56</v>
      </c>
      <c r="J30" s="2" t="n">
        <v>150</v>
      </c>
      <c r="K30" s="2" t="n">
        <v>250</v>
      </c>
      <c r="L30" s="4" t="s">
        <v>43</v>
      </c>
      <c r="M30" s="4" t="s">
        <v>44</v>
      </c>
      <c r="N30" s="4" t="s">
        <v>29</v>
      </c>
      <c r="O30" s="4" t="s">
        <v>34</v>
      </c>
      <c r="P30" s="3" t="n">
        <v>45518</v>
      </c>
      <c r="Q30" s="4" t="s">
        <v>65</v>
      </c>
      <c r="R30" s="4" t="s">
        <v>66</v>
      </c>
      <c r="S30" s="4" t="s">
        <v>28</v>
      </c>
      <c r="T30" s="5" t="n">
        <f aca="false">E30*K30</f>
        <v>750</v>
      </c>
      <c r="U30" s="5" t="n">
        <f aca="false">E30*J30</f>
        <v>450</v>
      </c>
      <c r="V30" s="5" t="n">
        <f aca="false">T30-U30</f>
        <v>300</v>
      </c>
      <c r="W30" s="6" t="str">
        <f aca="false">TEXT(C30,"YYYY-MM")</f>
        <v>2026-10</v>
      </c>
    </row>
    <row r="31" customFormat="false" ht="15" hidden="false" customHeight="false" outlineLevel="0" collapsed="false">
      <c r="A31" s="2" t="n">
        <v>5030</v>
      </c>
      <c r="B31" s="2" t="n">
        <v>105</v>
      </c>
      <c r="C31" s="3" t="n">
        <v>46323</v>
      </c>
      <c r="D31" s="4" t="s">
        <v>13</v>
      </c>
      <c r="E31" s="2" t="n">
        <v>2</v>
      </c>
      <c r="F31" s="4" t="s">
        <v>8</v>
      </c>
      <c r="G31" s="4" t="s">
        <v>16</v>
      </c>
      <c r="H31" s="4" t="s">
        <v>58</v>
      </c>
      <c r="I31" s="4" t="s">
        <v>53</v>
      </c>
      <c r="J31" s="2" t="n">
        <v>180</v>
      </c>
      <c r="K31" s="2" t="n">
        <v>280</v>
      </c>
      <c r="L31" s="4" t="s">
        <v>39</v>
      </c>
      <c r="M31" s="4" t="s">
        <v>40</v>
      </c>
      <c r="N31" s="4" t="s">
        <v>33</v>
      </c>
      <c r="O31" s="4" t="s">
        <v>30</v>
      </c>
      <c r="P31" s="3" t="n">
        <v>45424</v>
      </c>
      <c r="Q31" s="4" t="s">
        <v>68</v>
      </c>
      <c r="R31" s="4" t="s">
        <v>66</v>
      </c>
      <c r="S31" s="4" t="s">
        <v>40</v>
      </c>
      <c r="T31" s="5" t="n">
        <f aca="false">E31*K31</f>
        <v>560</v>
      </c>
      <c r="U31" s="5" t="n">
        <f aca="false">E31*J31</f>
        <v>360</v>
      </c>
      <c r="V31" s="5" t="n">
        <f aca="false">T31-U31</f>
        <v>200</v>
      </c>
      <c r="W31" s="6" t="str">
        <f aca="false">TEXT(C31,"YYYY-MM")</f>
        <v>2026-10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1" topLeftCell="A2" activePane="bottomLeft" state="frozen"/>
      <selection pane="topLeft" activeCell="A1" activeCellId="0" sqref="A1"/>
      <selection pane="bottomLeft" activeCell="D2" activeCellId="0" sqref="D2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15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9"/>
    <col collapsed="false" customWidth="true" hidden="false" outlineLevel="0" max="8" min="8" style="0" width="20"/>
  </cols>
  <sheetData>
    <row r="1" customFormat="false" ht="15" hidden="false" customHeight="false" outlineLevel="0" collapsed="false">
      <c r="A1" s="1" t="s">
        <v>74</v>
      </c>
      <c r="B1" s="1" t="s">
        <v>75</v>
      </c>
      <c r="C1" s="1" t="s">
        <v>76</v>
      </c>
      <c r="D1" s="1" t="s">
        <v>71</v>
      </c>
      <c r="E1" s="1" t="s">
        <v>72</v>
      </c>
      <c r="F1" s="1" t="s">
        <v>73</v>
      </c>
      <c r="G1" s="1" t="s">
        <v>77</v>
      </c>
      <c r="H1" s="1" t="s">
        <v>78</v>
      </c>
    </row>
    <row r="2" customFormat="false" ht="15" hidden="false" customHeight="false" outlineLevel="0" collapsed="false">
      <c r="A2" s="4" t="s">
        <v>79</v>
      </c>
      <c r="B2" s="5" t="n">
        <f aca="false">COUNTIF(Sales_Detail!W2:W31,A2)</f>
        <v>3</v>
      </c>
      <c r="C2" s="5" t="n">
        <f aca="false">SUMIF(Sales_Detail!W2:W31,A2,Sales_Detail!E2:E31)</f>
        <v>6</v>
      </c>
      <c r="D2" s="5" t="n">
        <f aca="false">SUMIF(Sales_Detail!W2:W31,A2,Sales_Detail!T2:T31)</f>
        <v>1530</v>
      </c>
      <c r="E2" s="5" t="n">
        <f aca="false">SUMIF(Sales_Detail!W2:W31,A2,Sales_Detail!U2:U31)</f>
        <v>1010</v>
      </c>
      <c r="F2" s="5" t="n">
        <f aca="false">SUMIF(Sales_Detail!W2:W31,A2,Sales_Detail!V2:V31)</f>
        <v>520</v>
      </c>
      <c r="G2" s="5" t="n">
        <f aca="false">IFERROR(F2/D2*100,0)</f>
        <v>33.9869281045752</v>
      </c>
      <c r="H2" s="7"/>
    </row>
    <row r="3" customFormat="false" ht="15" hidden="false" customHeight="false" outlineLevel="0" collapsed="false">
      <c r="A3" s="4" t="s">
        <v>80</v>
      </c>
      <c r="B3" s="5" t="n">
        <f aca="false">COUNTIF(Sales_Detail!W2:W31,A3)</f>
        <v>3</v>
      </c>
      <c r="C3" s="5" t="n">
        <f aca="false">SUMIF(Sales_Detail!W2:W31,A3,Sales_Detail!E2:E31)</f>
        <v>8</v>
      </c>
      <c r="D3" s="5" t="n">
        <f aca="false">SUMIF(Sales_Detail!W2:W31,A3,Sales_Detail!T2:T31)</f>
        <v>1880</v>
      </c>
      <c r="E3" s="5" t="n">
        <f aca="false">SUMIF(Sales_Detail!W2:W31,A3,Sales_Detail!U2:U31)</f>
        <v>1250</v>
      </c>
      <c r="F3" s="5" t="n">
        <f aca="false">SUMIF(Sales_Detail!W2:W31,A3,Sales_Detail!V2:V31)</f>
        <v>630</v>
      </c>
      <c r="G3" s="5" t="n">
        <f aca="false">IFERROR(F3/D3*100,0)</f>
        <v>33.5106382978723</v>
      </c>
      <c r="H3" s="5" t="n">
        <f aca="false">IFERROR((D3-D2)/D2*100,0)</f>
        <v>22.8758169934641</v>
      </c>
    </row>
    <row r="4" customFormat="false" ht="15" hidden="false" customHeight="false" outlineLevel="0" collapsed="false">
      <c r="A4" s="4" t="s">
        <v>81</v>
      </c>
      <c r="B4" s="5" t="n">
        <f aca="false">COUNTIF(Sales_Detail!W2:W31,A4)</f>
        <v>3</v>
      </c>
      <c r="C4" s="5" t="n">
        <f aca="false">SUMIF(Sales_Detail!W2:W31,A4,Sales_Detail!E2:E31)</f>
        <v>4</v>
      </c>
      <c r="D4" s="5" t="n">
        <f aca="false">SUMIF(Sales_Detail!W2:W31,A4,Sales_Detail!T2:T31)</f>
        <v>1520</v>
      </c>
      <c r="E4" s="5" t="n">
        <f aca="false">SUMIF(Sales_Detail!W2:W31,A4,Sales_Detail!U2:U31)</f>
        <v>1000</v>
      </c>
      <c r="F4" s="5" t="n">
        <f aca="false">SUMIF(Sales_Detail!W2:W31,A4,Sales_Detail!V2:V31)</f>
        <v>520</v>
      </c>
      <c r="G4" s="5" t="n">
        <f aca="false">IFERROR(F4/D4*100,0)</f>
        <v>34.2105263157895</v>
      </c>
      <c r="H4" s="5" t="n">
        <f aca="false">IFERROR((D4-D3)/D3*100,0)</f>
        <v>-19.1489361702128</v>
      </c>
    </row>
    <row r="5" customFormat="false" ht="15" hidden="false" customHeight="false" outlineLevel="0" collapsed="false">
      <c r="A5" s="4" t="s">
        <v>82</v>
      </c>
      <c r="B5" s="5" t="n">
        <f aca="false">COUNTIF(Sales_Detail!W2:W31,A5)</f>
        <v>3</v>
      </c>
      <c r="C5" s="5" t="n">
        <f aca="false">SUMIF(Sales_Detail!W2:W31,A5,Sales_Detail!E2:E31)</f>
        <v>7</v>
      </c>
      <c r="D5" s="5" t="n">
        <f aca="false">SUMIF(Sales_Detail!W2:W31,A5,Sales_Detail!T2:T31)</f>
        <v>800</v>
      </c>
      <c r="E5" s="5" t="n">
        <f aca="false">SUMIF(Sales_Detail!W2:W31,A5,Sales_Detail!U2:U31)</f>
        <v>460</v>
      </c>
      <c r="F5" s="5" t="n">
        <f aca="false">SUMIF(Sales_Detail!W2:W31,A5,Sales_Detail!V2:V31)</f>
        <v>340</v>
      </c>
      <c r="G5" s="5" t="n">
        <f aca="false">IFERROR(F5/D5*100,0)</f>
        <v>42.5</v>
      </c>
      <c r="H5" s="5" t="n">
        <f aca="false">IFERROR((D5-D4)/D4*100,0)</f>
        <v>-47.3684210526316</v>
      </c>
    </row>
    <row r="6" customFormat="false" ht="15" hidden="false" customHeight="false" outlineLevel="0" collapsed="false">
      <c r="A6" s="4" t="s">
        <v>83</v>
      </c>
      <c r="B6" s="5" t="n">
        <f aca="false">COUNTIF(Sales_Detail!W2:W31,A6)</f>
        <v>3</v>
      </c>
      <c r="C6" s="5" t="n">
        <f aca="false">SUMIF(Sales_Detail!W2:W31,A6,Sales_Detail!E2:E31)</f>
        <v>8</v>
      </c>
      <c r="D6" s="5" t="n">
        <f aca="false">SUMIF(Sales_Detail!W2:W31,A6,Sales_Detail!T2:T31)</f>
        <v>1810</v>
      </c>
      <c r="E6" s="5" t="n">
        <f aca="false">SUMIF(Sales_Detail!W2:W31,A6,Sales_Detail!U2:U31)</f>
        <v>1150</v>
      </c>
      <c r="F6" s="5" t="n">
        <f aca="false">SUMIF(Sales_Detail!W2:W31,A6,Sales_Detail!V2:V31)</f>
        <v>660</v>
      </c>
      <c r="G6" s="5" t="n">
        <f aca="false">IFERROR(F6/D6*100,0)</f>
        <v>36.4640883977901</v>
      </c>
      <c r="H6" s="5" t="n">
        <f aca="false">IFERROR((D6-D5)/D5*100,0)</f>
        <v>126.25</v>
      </c>
    </row>
    <row r="7" customFormat="false" ht="15" hidden="false" customHeight="false" outlineLevel="0" collapsed="false">
      <c r="A7" s="4" t="s">
        <v>84</v>
      </c>
      <c r="B7" s="5" t="n">
        <f aca="false">COUNTIF(Sales_Detail!W2:W31,A7)</f>
        <v>2</v>
      </c>
      <c r="C7" s="5" t="n">
        <f aca="false">SUMIF(Sales_Detail!W2:W31,A7,Sales_Detail!E2:E31)</f>
        <v>4</v>
      </c>
      <c r="D7" s="5" t="n">
        <f aca="false">SUMIF(Sales_Detail!W2:W31,A7,Sales_Detail!T2:T31)</f>
        <v>1200</v>
      </c>
      <c r="E7" s="5" t="n">
        <f aca="false">SUMIF(Sales_Detail!W2:W31,A7,Sales_Detail!U2:U31)</f>
        <v>760</v>
      </c>
      <c r="F7" s="5" t="n">
        <f aca="false">SUMIF(Sales_Detail!W2:W31,A7,Sales_Detail!V2:V31)</f>
        <v>440</v>
      </c>
      <c r="G7" s="5" t="n">
        <f aca="false">IFERROR(F7/D7*100,0)</f>
        <v>36.6666666666667</v>
      </c>
      <c r="H7" s="5" t="n">
        <f aca="false">IFERROR((D7-D6)/D6*100,0)</f>
        <v>-33.7016574585635</v>
      </c>
    </row>
    <row r="8" customFormat="false" ht="15" hidden="false" customHeight="false" outlineLevel="0" collapsed="false">
      <c r="A8" s="4" t="s">
        <v>85</v>
      </c>
      <c r="B8" s="5" t="n">
        <f aca="false">COUNTIF(Sales_Detail!W2:W31,A8)</f>
        <v>3</v>
      </c>
      <c r="C8" s="5" t="n">
        <f aca="false">SUMIF(Sales_Detail!W2:W31,A8,Sales_Detail!E2:E31)</f>
        <v>9</v>
      </c>
      <c r="D8" s="5" t="n">
        <f aca="false">SUMIF(Sales_Detail!W2:W31,A8,Sales_Detail!T2:T31)</f>
        <v>1940</v>
      </c>
      <c r="E8" s="5" t="n">
        <f aca="false">SUMIF(Sales_Detail!W2:W31,A8,Sales_Detail!U2:U31)</f>
        <v>1280</v>
      </c>
      <c r="F8" s="5" t="n">
        <f aca="false">SUMIF(Sales_Detail!W2:W31,A8,Sales_Detail!V2:V31)</f>
        <v>660</v>
      </c>
      <c r="G8" s="5" t="n">
        <f aca="false">IFERROR(F8/D8*100,0)</f>
        <v>34.020618556701</v>
      </c>
      <c r="H8" s="5" t="n">
        <f aca="false">IFERROR((D8-D7)/D7*100,0)</f>
        <v>61.6666666666667</v>
      </c>
    </row>
    <row r="9" customFormat="false" ht="15" hidden="false" customHeight="false" outlineLevel="0" collapsed="false">
      <c r="A9" s="4" t="s">
        <v>86</v>
      </c>
      <c r="B9" s="5" t="n">
        <f aca="false">COUNTIF(Sales_Detail!W2:W31,A9)</f>
        <v>3</v>
      </c>
      <c r="C9" s="5" t="n">
        <f aca="false">SUMIF(Sales_Detail!W2:W31,A9,Sales_Detail!E2:E31)</f>
        <v>10</v>
      </c>
      <c r="D9" s="5" t="n">
        <f aca="false">SUMIF(Sales_Detail!W2:W31,A9,Sales_Detail!T2:T31)</f>
        <v>2800</v>
      </c>
      <c r="E9" s="5" t="n">
        <f aca="false">SUMIF(Sales_Detail!W2:W31,A9,Sales_Detail!U2:U31)</f>
        <v>1900</v>
      </c>
      <c r="F9" s="5" t="n">
        <f aca="false">SUMIF(Sales_Detail!W2:W31,A9,Sales_Detail!V2:V31)</f>
        <v>900</v>
      </c>
      <c r="G9" s="5" t="n">
        <f aca="false">IFERROR(F9/D9*100,0)</f>
        <v>32.1428571428571</v>
      </c>
      <c r="H9" s="5" t="n">
        <f aca="false">IFERROR((D9-D8)/D8*100,0)</f>
        <v>44.3298969072165</v>
      </c>
    </row>
    <row r="10" customFormat="false" ht="15" hidden="false" customHeight="false" outlineLevel="0" collapsed="false">
      <c r="A10" s="4" t="s">
        <v>87</v>
      </c>
      <c r="B10" s="5" t="n">
        <f aca="false">COUNTIF(Sales_Detail!W2:W31,A10)</f>
        <v>3</v>
      </c>
      <c r="C10" s="5" t="n">
        <f aca="false">SUMIF(Sales_Detail!W2:W31,A10,Sales_Detail!E2:E31)</f>
        <v>6</v>
      </c>
      <c r="D10" s="5" t="n">
        <f aca="false">SUMIF(Sales_Detail!W2:W31,A10,Sales_Detail!T2:T31)</f>
        <v>1340</v>
      </c>
      <c r="E10" s="5" t="n">
        <f aca="false">SUMIF(Sales_Detail!W2:W31,A10,Sales_Detail!U2:U31)</f>
        <v>840</v>
      </c>
      <c r="F10" s="5" t="n">
        <f aca="false">SUMIF(Sales_Detail!W2:W31,A10,Sales_Detail!V2:V31)</f>
        <v>500</v>
      </c>
      <c r="G10" s="5" t="n">
        <f aca="false">IFERROR(F10/D10*100,0)</f>
        <v>37.3134328358209</v>
      </c>
      <c r="H10" s="5" t="n">
        <f aca="false">IFERROR((D10-D9)/D9*100,0)</f>
        <v>-52.1428571428571</v>
      </c>
    </row>
    <row r="11" customFormat="false" ht="15" hidden="false" customHeight="false" outlineLevel="0" collapsed="false">
      <c r="A11" s="4" t="s">
        <v>88</v>
      </c>
      <c r="B11" s="5" t="n">
        <f aca="false">COUNTIF(Sales_Detail!W2:W31,A11)</f>
        <v>4</v>
      </c>
      <c r="C11" s="5" t="n">
        <f aca="false">SUMIF(Sales_Detail!W2:W31,A11,Sales_Detail!E2:E31)</f>
        <v>8</v>
      </c>
      <c r="D11" s="5" t="n">
        <f aca="false">SUMIF(Sales_Detail!W2:W31,A11,Sales_Detail!T2:T31)</f>
        <v>2370</v>
      </c>
      <c r="E11" s="5" t="n">
        <f aca="false">SUMIF(Sales_Detail!W2:W31,A11,Sales_Detail!U2:U31)</f>
        <v>1510</v>
      </c>
      <c r="F11" s="5" t="n">
        <f aca="false">SUMIF(Sales_Detail!W2:W31,A11,Sales_Detail!V2:V31)</f>
        <v>860</v>
      </c>
      <c r="G11" s="5" t="n">
        <f aca="false">IFERROR(F11/D11*100,0)</f>
        <v>36.2869198312236</v>
      </c>
      <c r="H11" s="5" t="n">
        <f aca="false">IFERROR((D11-D10)/D10*100,0)</f>
        <v>76.865671641791</v>
      </c>
    </row>
    <row r="16" customFormat="false" ht="15" hidden="false" customHeight="false" outlineLevel="0" collapsed="false">
      <c r="D16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1" topLeftCell="A2" activePane="bottomLeft" state="frozen"/>
      <selection pane="topLeft" activeCell="A1" activeCellId="0" sqref="A1"/>
      <selection pane="bottomLeft" activeCell="G15" activeCellId="0" sqref="G15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4" width="12"/>
    <col collapsed="false" customWidth="true" hidden="false" outlineLevel="0" max="2" min="2" style="4" width="14"/>
    <col collapsed="false" customWidth="true" hidden="false" outlineLevel="0" max="4" min="3" style="4" width="13"/>
    <col collapsed="false" customWidth="true" hidden="false" outlineLevel="0" max="5" min="5" style="4" width="16"/>
    <col collapsed="false" customWidth="true" hidden="false" outlineLevel="0" max="6" min="6" style="4" width="15"/>
    <col collapsed="false" customWidth="true" hidden="false" outlineLevel="0" max="7" min="7" style="4" width="12"/>
    <col collapsed="false" customWidth="true" hidden="false" outlineLevel="0" max="8" min="8" style="4" width="14"/>
    <col collapsed="false" customWidth="true" hidden="false" outlineLevel="0" max="9" min="9" style="4" width="19"/>
    <col collapsed="false" customWidth="false" hidden="false" outlineLevel="0" max="16384" min="10" style="4" width="8.54"/>
  </cols>
  <sheetData>
    <row r="1" customFormat="false" ht="15" hidden="false" customHeight="false" outlineLevel="0" collapsed="false">
      <c r="A1" s="1" t="s">
        <v>3</v>
      </c>
      <c r="B1" s="1" t="s">
        <v>48</v>
      </c>
      <c r="C1" s="1" t="s">
        <v>49</v>
      </c>
      <c r="D1" s="1" t="s">
        <v>75</v>
      </c>
      <c r="E1" s="1" t="s">
        <v>76</v>
      </c>
      <c r="F1" s="1" t="s">
        <v>71</v>
      </c>
      <c r="G1" s="1" t="s">
        <v>72</v>
      </c>
      <c r="H1" s="1" t="s">
        <v>73</v>
      </c>
      <c r="I1" s="1" t="s">
        <v>77</v>
      </c>
    </row>
    <row r="2" customFormat="false" ht="15" hidden="false" customHeight="false" outlineLevel="0" collapsed="false">
      <c r="A2" s="4" t="s">
        <v>7</v>
      </c>
      <c r="B2" s="4" t="s">
        <v>52</v>
      </c>
      <c r="C2" s="4" t="s">
        <v>53</v>
      </c>
      <c r="D2" s="5" t="n">
        <f aca="false">COUNTIF(Sales_Detail!D2:D31,A2)</f>
        <v>7</v>
      </c>
      <c r="E2" s="5" t="n">
        <f aca="false">SUMIF(Sales_Detail!D2:D31,A2,Sales_Detail!E2:E31)</f>
        <v>11</v>
      </c>
      <c r="F2" s="5" t="n">
        <f aca="false">SUMIF(Sales_Detail!D2:D31,A2,Sales_Detail!T2:T31)</f>
        <v>7700</v>
      </c>
      <c r="G2" s="5" t="n">
        <f aca="false">SUMIF(Sales_Detail!D2:D31,A2,Sales_Detail!U2:U31)</f>
        <v>5500</v>
      </c>
      <c r="H2" s="5" t="n">
        <f aca="false">F2-G2</f>
        <v>2200</v>
      </c>
      <c r="I2" s="5" t="n">
        <f aca="false">IFERROR(H2/F2*100,0)</f>
        <v>28.5714285714286</v>
      </c>
    </row>
    <row r="3" customFormat="false" ht="15" hidden="false" customHeight="false" outlineLevel="0" collapsed="false">
      <c r="A3" s="4" t="s">
        <v>13</v>
      </c>
      <c r="B3" s="4" t="s">
        <v>58</v>
      </c>
      <c r="C3" s="4" t="s">
        <v>53</v>
      </c>
      <c r="D3" s="5" t="n">
        <f aca="false">COUNTIF(Sales_Detail!D2:D31,A3)</f>
        <v>5</v>
      </c>
      <c r="E3" s="5" t="n">
        <f aca="false">SUMIF(Sales_Detail!D2:D31,A3,Sales_Detail!E2:E31)</f>
        <v>10</v>
      </c>
      <c r="F3" s="5" t="n">
        <f aca="false">SUMIF(Sales_Detail!D2:D31,A3,Sales_Detail!T2:T31)</f>
        <v>2800</v>
      </c>
      <c r="G3" s="5" t="n">
        <f aca="false">SUMIF(Sales_Detail!D2:D31,A3,Sales_Detail!U2:U31)</f>
        <v>1800</v>
      </c>
      <c r="H3" s="5" t="n">
        <f aca="false">F3-G3</f>
        <v>1000</v>
      </c>
      <c r="I3" s="5" t="n">
        <f aca="false">IFERROR(H3/F3*100,0)</f>
        <v>35.7142857142857</v>
      </c>
    </row>
    <row r="4" customFormat="false" ht="15" hidden="false" customHeight="false" outlineLevel="0" collapsed="false">
      <c r="A4" s="4" t="s">
        <v>19</v>
      </c>
      <c r="B4" s="4" t="s">
        <v>57</v>
      </c>
      <c r="C4" s="4" t="s">
        <v>56</v>
      </c>
      <c r="D4" s="5" t="n">
        <f aca="false">COUNTIF(Sales_Detail!D2:D31,A4)</f>
        <v>4</v>
      </c>
      <c r="E4" s="5" t="n">
        <f aca="false">SUMIF(Sales_Detail!D2:D31,A4,Sales_Detail!E2:E31)</f>
        <v>10</v>
      </c>
      <c r="F4" s="5" t="n">
        <f aca="false">SUMIF(Sales_Detail!D2:D31,A4,Sales_Detail!T2:T31)</f>
        <v>2500</v>
      </c>
      <c r="G4" s="5" t="n">
        <f aca="false">SUMIF(Sales_Detail!D2:D31,A4,Sales_Detail!U2:U31)</f>
        <v>1500</v>
      </c>
      <c r="H4" s="5" t="n">
        <f aca="false">F4-G4</f>
        <v>1000</v>
      </c>
      <c r="I4" s="5" t="n">
        <f aca="false">IFERROR(H4/F4*100,0)</f>
        <v>40</v>
      </c>
    </row>
    <row r="5" customFormat="false" ht="15" hidden="false" customHeight="false" outlineLevel="0" collapsed="false">
      <c r="A5" s="4" t="s">
        <v>18</v>
      </c>
      <c r="B5" s="4" t="s">
        <v>62</v>
      </c>
      <c r="C5" s="4" t="s">
        <v>53</v>
      </c>
      <c r="D5" s="5" t="n">
        <f aca="false">COUNTIF(Sales_Detail!D2:D31,A5)</f>
        <v>3</v>
      </c>
      <c r="E5" s="5" t="n">
        <f aca="false">SUMIF(Sales_Detail!D2:D31,A5,Sales_Detail!E2:E31)</f>
        <v>4</v>
      </c>
      <c r="F5" s="5" t="n">
        <f aca="false">SUMIF(Sales_Detail!D2:D31,A5,Sales_Detail!T2:T31)</f>
        <v>1280</v>
      </c>
      <c r="G5" s="5" t="n">
        <f aca="false">SUMIF(Sales_Detail!D2:D31,A5,Sales_Detail!U2:U31)</f>
        <v>800</v>
      </c>
      <c r="H5" s="5" t="n">
        <f aca="false">F5-G5</f>
        <v>480</v>
      </c>
      <c r="I5" s="5" t="n">
        <f aca="false">IFERROR(H5/F5*100,0)</f>
        <v>37.5</v>
      </c>
    </row>
    <row r="6" customFormat="false" ht="15" hidden="false" customHeight="false" outlineLevel="0" collapsed="false">
      <c r="A6" s="4" t="s">
        <v>15</v>
      </c>
      <c r="B6" s="4" t="s">
        <v>55</v>
      </c>
      <c r="C6" s="4" t="s">
        <v>56</v>
      </c>
      <c r="D6" s="5" t="n">
        <f aca="false">COUNTIF(Sales_Detail!D2:D31,A6)</f>
        <v>4</v>
      </c>
      <c r="E6" s="5" t="n">
        <f aca="false">SUMIF(Sales_Detail!D2:D31,A6,Sales_Detail!E2:E31)</f>
        <v>6</v>
      </c>
      <c r="F6" s="5" t="n">
        <f aca="false">SUMIF(Sales_Detail!D2:D31,A6,Sales_Detail!T2:T31)</f>
        <v>1080</v>
      </c>
      <c r="G6" s="5" t="n">
        <f aca="false">SUMIF(Sales_Detail!D2:D31,A6,Sales_Detail!U2:U31)</f>
        <v>600</v>
      </c>
      <c r="H6" s="5" t="n">
        <f aca="false">F6-G6</f>
        <v>480</v>
      </c>
      <c r="I6" s="5" t="n">
        <f aca="false">IFERROR(H6/F6*100,0)</f>
        <v>44.4444444444444</v>
      </c>
    </row>
    <row r="7" customFormat="false" ht="15" hidden="false" customHeight="false" outlineLevel="0" collapsed="false">
      <c r="A7" s="4" t="s">
        <v>10</v>
      </c>
      <c r="B7" s="4" t="s">
        <v>54</v>
      </c>
      <c r="C7" s="4" t="s">
        <v>53</v>
      </c>
      <c r="D7" s="5" t="n">
        <f aca="false">COUNTIF(Sales_Detail!D2:D31,A7)</f>
        <v>3</v>
      </c>
      <c r="E7" s="5" t="n">
        <f aca="false">SUMIF(Sales_Detail!D2:D31,A7,Sales_Detail!E2:E31)</f>
        <v>9</v>
      </c>
      <c r="F7" s="5" t="n">
        <f aca="false">SUMIF(Sales_Detail!D2:D31,A7,Sales_Detail!T2:T31)</f>
        <v>810</v>
      </c>
      <c r="G7" s="5" t="n">
        <f aca="false">SUMIF(Sales_Detail!D2:D31,A7,Sales_Detail!U2:U31)</f>
        <v>450</v>
      </c>
      <c r="H7" s="5" t="n">
        <f aca="false">F7-G7</f>
        <v>360</v>
      </c>
      <c r="I7" s="5" t="n">
        <f aca="false">IFERROR(H7/F7*100,0)</f>
        <v>44.4444444444444</v>
      </c>
    </row>
    <row r="8" customFormat="false" ht="15" hidden="false" customHeight="false" outlineLevel="0" collapsed="false">
      <c r="A8" s="4" t="s">
        <v>17</v>
      </c>
      <c r="B8" s="4" t="s">
        <v>59</v>
      </c>
      <c r="C8" s="4" t="s">
        <v>60</v>
      </c>
      <c r="D8" s="5" t="n">
        <f aca="false">COUNTIF(Sales_Detail!D2:D31,A8)</f>
        <v>2</v>
      </c>
      <c r="E8" s="5" t="n">
        <f aca="false">SUMIF(Sales_Detail!D2:D31,A8,Sales_Detail!E2:E31)</f>
        <v>11</v>
      </c>
      <c r="F8" s="5" t="n">
        <f aca="false">SUMIF(Sales_Detail!D2:D31,A8,Sales_Detail!T2:T31)</f>
        <v>660</v>
      </c>
      <c r="G8" s="5" t="n">
        <f aca="false">SUMIF(Sales_Detail!D2:D31,A8,Sales_Detail!U2:U31)</f>
        <v>330</v>
      </c>
      <c r="H8" s="5" t="n">
        <f aca="false">F8-G8</f>
        <v>330</v>
      </c>
      <c r="I8" s="5" t="n">
        <f aca="false">IFERROR(H8/F8*100,0)</f>
        <v>50</v>
      </c>
    </row>
    <row r="9" customFormat="false" ht="15" hidden="false" customHeight="false" outlineLevel="0" collapsed="false">
      <c r="A9" s="4" t="s">
        <v>20</v>
      </c>
      <c r="B9" s="4" t="s">
        <v>61</v>
      </c>
      <c r="C9" s="4" t="s">
        <v>60</v>
      </c>
      <c r="D9" s="5" t="n">
        <f aca="false">COUNTIF(Sales_Detail!D2:D31,A9)</f>
        <v>2</v>
      </c>
      <c r="E9" s="5" t="n">
        <f aca="false">SUMIF(Sales_Detail!D2:D31,A9,Sales_Detail!E2:E31)</f>
        <v>9</v>
      </c>
      <c r="F9" s="5" t="n">
        <f aca="false">SUMIF(Sales_Detail!D2:D31,A9,Sales_Detail!T2:T31)</f>
        <v>360</v>
      </c>
      <c r="G9" s="5" t="n">
        <f aca="false">SUMIF(Sales_Detail!D2:D31,A9,Sales_Detail!U2:U31)</f>
        <v>180</v>
      </c>
      <c r="H9" s="5" t="n">
        <f aca="false">F9-G9</f>
        <v>180</v>
      </c>
      <c r="I9" s="5" t="n">
        <f aca="false">IFERROR(H9/F9*100,0)</f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1" topLeftCell="A2" activePane="bottomLeft" state="frozen"/>
      <selection pane="topLeft" activeCell="A1" activeCellId="0" sqref="A1"/>
      <selection pane="bottomLeft" activeCell="I10" activeCellId="0" sqref="I10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15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21"/>
    <col collapsed="false" customWidth="true" hidden="false" outlineLevel="0" max="9" min="8" style="0" width="19"/>
  </cols>
  <sheetData>
    <row r="1" customFormat="false" ht="15" hidden="false" customHeight="false" outlineLevel="0" collapsed="false">
      <c r="A1" s="1" t="s">
        <v>5</v>
      </c>
      <c r="B1" s="1" t="s">
        <v>75</v>
      </c>
      <c r="C1" s="1" t="s">
        <v>76</v>
      </c>
      <c r="D1" s="1" t="s">
        <v>71</v>
      </c>
      <c r="E1" s="1" t="s">
        <v>72</v>
      </c>
      <c r="F1" s="1" t="s">
        <v>73</v>
      </c>
      <c r="G1" s="1" t="s">
        <v>89</v>
      </c>
      <c r="H1" s="1" t="s">
        <v>90</v>
      </c>
      <c r="I1" s="1" t="s">
        <v>77</v>
      </c>
    </row>
    <row r="2" customFormat="false" ht="15" hidden="false" customHeight="false" outlineLevel="0" collapsed="false">
      <c r="A2" s="0" t="s">
        <v>8</v>
      </c>
      <c r="B2" s="9" t="n">
        <f aca="false">COUNTIF(Sales_Detail!F2:F31,A2)</f>
        <v>17</v>
      </c>
      <c r="C2" s="9" t="n">
        <f aca="false">SUMIF(Sales_Detail!F2:F31,A2,Sales_Detail!E2:E31)</f>
        <v>38</v>
      </c>
      <c r="D2" s="9" t="n">
        <f aca="false">SUMIF(Sales_Detail!F2:F31,A2,Sales_Detail!T2:T31)</f>
        <v>12000</v>
      </c>
      <c r="E2" s="9" t="n">
        <f aca="false">SUMIF(Sales_Detail!F2:F31,A2,Sales_Detail!U2:U31)</f>
        <v>8130</v>
      </c>
      <c r="F2" s="9" t="n">
        <f aca="false">D2-E2</f>
        <v>3870</v>
      </c>
      <c r="G2" s="9" t="n">
        <f aca="false">IFERROR(D2/B2,0)</f>
        <v>705.882352941177</v>
      </c>
      <c r="H2" s="9" t="n">
        <f aca="false">IFERROR(D2/SUM(D2:D3)*100,0)</f>
        <v>69.8080279232112</v>
      </c>
      <c r="I2" s="9" t="n">
        <f aca="false">IFERROR(F2/D2*100,0)</f>
        <v>32.25</v>
      </c>
    </row>
    <row r="3" customFormat="false" ht="15" hidden="false" customHeight="false" outlineLevel="0" collapsed="false">
      <c r="A3" s="0" t="s">
        <v>11</v>
      </c>
      <c r="B3" s="9" t="n">
        <f aca="false">COUNTIF(Sales_Detail!F2:F31,A3)</f>
        <v>13</v>
      </c>
      <c r="C3" s="9" t="n">
        <f aca="false">SUMIF(Sales_Detail!F2:F31,A3,Sales_Detail!E2:E31)</f>
        <v>32</v>
      </c>
      <c r="D3" s="9" t="n">
        <f aca="false">SUMIF(Sales_Detail!F2:F31,A3,Sales_Detail!T2:T31)</f>
        <v>5190</v>
      </c>
      <c r="E3" s="9" t="n">
        <f aca="false">SUMIF(Sales_Detail!F2:F31,A3,Sales_Detail!U2:U31)</f>
        <v>3030</v>
      </c>
      <c r="F3" s="9" t="n">
        <f aca="false">D3-E3</f>
        <v>2160</v>
      </c>
      <c r="G3" s="9" t="n">
        <f aca="false">IFERROR(D3/B3,0)</f>
        <v>399.230769230769</v>
      </c>
      <c r="H3" s="9" t="n">
        <f aca="false">IFERROR(D3/SUM(D2:D3)*100,0)</f>
        <v>30.1919720767888</v>
      </c>
      <c r="I3" s="9" t="n">
        <f aca="false">IFERROR(F3/D3*100,0)</f>
        <v>41.6184971098266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1" topLeftCell="A2" activePane="bottomLeft" state="frozen"/>
      <selection pane="topLeft" activeCell="A1" activeCellId="0" sqref="A1"/>
      <selection pane="bottomLeft" activeCell="AH25" activeCellId="0" sqref="AH25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0" width="27"/>
    <col collapsed="false" customWidth="true" hidden="false" outlineLevel="0" max="2" min="2" style="10" width="12"/>
    <col collapsed="false" customWidth="true" hidden="false" outlineLevel="0" max="3" min="3" style="10" width="28"/>
    <col collapsed="false" customWidth="false" hidden="false" outlineLevel="0" max="16384" min="4" style="10" width="8.54"/>
  </cols>
  <sheetData>
    <row r="1" customFormat="false" ht="15" hidden="false" customHeight="false" outlineLevel="0" collapsed="false">
      <c r="A1" s="11" t="s">
        <v>91</v>
      </c>
      <c r="B1" s="11" t="s">
        <v>92</v>
      </c>
      <c r="C1" s="11" t="s">
        <v>93</v>
      </c>
    </row>
    <row r="2" customFormat="false" ht="15" hidden="false" customHeight="false" outlineLevel="0" collapsed="false">
      <c r="A2" s="10" t="s">
        <v>94</v>
      </c>
      <c r="B2" s="12" t="n">
        <f aca="false">COUNTA(Orders!A2:A31)</f>
        <v>30</v>
      </c>
      <c r="C2" s="10" t="s">
        <v>95</v>
      </c>
    </row>
    <row r="3" customFormat="false" ht="15" hidden="false" customHeight="false" outlineLevel="0" collapsed="false">
      <c r="A3" s="10" t="s">
        <v>96</v>
      </c>
      <c r="B3" s="12" t="n">
        <f aca="false">SUM(Sales_Detail!T2:T31)</f>
        <v>17190</v>
      </c>
      <c r="C3" s="10" t="s">
        <v>97</v>
      </c>
    </row>
    <row r="4" customFormat="false" ht="15" hidden="false" customHeight="false" outlineLevel="0" collapsed="false">
      <c r="A4" s="10" t="s">
        <v>98</v>
      </c>
      <c r="B4" s="12" t="n">
        <f aca="false">SUM(Sales_Detail!U2:U31)</f>
        <v>11160</v>
      </c>
      <c r="C4" s="10" t="s">
        <v>99</v>
      </c>
    </row>
    <row r="5" customFormat="false" ht="15" hidden="false" customHeight="false" outlineLevel="0" collapsed="false">
      <c r="A5" s="10" t="s">
        <v>100</v>
      </c>
      <c r="B5" s="12" t="n">
        <f aca="false">SUM(Sales_Detail!V2:V31)</f>
        <v>6030</v>
      </c>
      <c r="C5" s="10" t="s">
        <v>101</v>
      </c>
    </row>
    <row r="6" customFormat="false" ht="15" hidden="false" customHeight="false" outlineLevel="0" collapsed="false">
      <c r="A6" s="10" t="s">
        <v>102</v>
      </c>
      <c r="B6" s="13" t="n">
        <v>35.08</v>
      </c>
      <c r="C6" s="10" t="s">
        <v>103</v>
      </c>
    </row>
    <row r="7" customFormat="false" ht="15" hidden="false" customHeight="false" outlineLevel="0" collapsed="false">
      <c r="A7" s="10" t="s">
        <v>104</v>
      </c>
      <c r="B7" s="12" t="n">
        <f aca="false">IFERROR(B3/B2,0)</f>
        <v>573</v>
      </c>
      <c r="C7" s="10" t="s">
        <v>105</v>
      </c>
    </row>
    <row r="8" customFormat="false" ht="15" hidden="false" customHeight="false" outlineLevel="0" collapsed="false">
      <c r="A8" s="10" t="s">
        <v>106</v>
      </c>
      <c r="B8" s="13" t="n">
        <v>70</v>
      </c>
      <c r="C8" s="10" t="s">
        <v>107</v>
      </c>
    </row>
    <row r="9" customFormat="false" ht="15" hidden="false" customHeight="false" outlineLevel="0" collapsed="false">
      <c r="A9" s="10" t="s">
        <v>108</v>
      </c>
      <c r="B9" s="13" t="n">
        <v>10</v>
      </c>
      <c r="C9" s="10" t="s">
        <v>109</v>
      </c>
    </row>
    <row r="10" customFormat="false" ht="15" hidden="false" customHeight="false" outlineLevel="0" collapsed="false">
      <c r="A10" s="10" t="s">
        <v>110</v>
      </c>
      <c r="B10" s="13" t="n">
        <v>8</v>
      </c>
      <c r="C10" s="10" t="s">
        <v>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1" topLeftCell="A2" activePane="bottomLeft" state="frozen"/>
      <selection pane="topLeft" activeCell="A1" activeCellId="0" sqref="A1"/>
      <selection pane="bottomLeft" activeCell="G14" activeCellId="0" sqref="G14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4" width="13"/>
    <col collapsed="false" customWidth="true" hidden="false" outlineLevel="0" max="2" min="2" style="4" width="15"/>
    <col collapsed="false" customWidth="true" hidden="false" outlineLevel="0" max="3" min="3" style="4" width="14"/>
    <col collapsed="false" customWidth="true" hidden="false" outlineLevel="0" max="4" min="4" style="4" width="16"/>
    <col collapsed="false" customWidth="true" hidden="false" outlineLevel="0" max="5" min="5" style="4" width="19"/>
    <col collapsed="false" customWidth="false" hidden="false" outlineLevel="0" max="16384" min="6" style="4" width="8.54"/>
  </cols>
  <sheetData>
    <row r="1" customFormat="false" ht="15" hidden="false" customHeight="false" outlineLevel="0" collapsed="false">
      <c r="A1" s="1" t="s">
        <v>49</v>
      </c>
      <c r="B1" s="1" t="s">
        <v>71</v>
      </c>
      <c r="C1" s="1" t="s">
        <v>73</v>
      </c>
      <c r="D1" s="1" t="s">
        <v>76</v>
      </c>
      <c r="E1" s="1" t="s">
        <v>77</v>
      </c>
    </row>
    <row r="2" customFormat="false" ht="15" hidden="false" customHeight="false" outlineLevel="0" collapsed="false">
      <c r="A2" s="4" t="s">
        <v>60</v>
      </c>
      <c r="B2" s="5" t="n">
        <f aca="false">SUMIF(Sales_Detail!I2:I31,A2,Sales_Detail!T2:T31)</f>
        <v>1020</v>
      </c>
      <c r="C2" s="5" t="n">
        <f aca="false">SUMIF(Sales_Detail!I2:I31,A2,Sales_Detail!V2:V31)</f>
        <v>510</v>
      </c>
      <c r="D2" s="5" t="n">
        <f aca="false">SUMIF(Sales_Detail!I2:I31,A2,Sales_Detail!E2:E31)</f>
        <v>20</v>
      </c>
      <c r="E2" s="5" t="n">
        <f aca="false">IFERROR(C2/B2*100,0)</f>
        <v>50</v>
      </c>
    </row>
    <row r="3" customFormat="false" ht="15" hidden="false" customHeight="false" outlineLevel="0" collapsed="false">
      <c r="A3" s="4" t="s">
        <v>53</v>
      </c>
      <c r="B3" s="5" t="n">
        <f aca="false">SUMIF(Sales_Detail!I2:I31,A3,Sales_Detail!T2:T31)</f>
        <v>12590</v>
      </c>
      <c r="C3" s="5" t="n">
        <f aca="false">SUMIF(Sales_Detail!I2:I31,A3,Sales_Detail!V2:V31)</f>
        <v>4040</v>
      </c>
      <c r="D3" s="5" t="n">
        <f aca="false">SUMIF(Sales_Detail!I2:I31,A3,Sales_Detail!E2:E31)</f>
        <v>34</v>
      </c>
      <c r="E3" s="5" t="n">
        <f aca="false">IFERROR(C3/B3*100,0)</f>
        <v>32.0889594916601</v>
      </c>
    </row>
    <row r="4" customFormat="false" ht="15" hidden="false" customHeight="false" outlineLevel="0" collapsed="false">
      <c r="A4" s="4" t="s">
        <v>56</v>
      </c>
      <c r="B4" s="5" t="n">
        <f aca="false">SUMIF(Sales_Detail!I2:I31,A4,Sales_Detail!T2:T31)</f>
        <v>3580</v>
      </c>
      <c r="C4" s="5" t="n">
        <f aca="false">SUMIF(Sales_Detail!I2:I31,A4,Sales_Detail!V2:V31)</f>
        <v>1480</v>
      </c>
      <c r="D4" s="5" t="n">
        <f aca="false">SUMIF(Sales_Detail!I2:I31,A4,Sales_Detail!E2:E31)</f>
        <v>16</v>
      </c>
      <c r="E4" s="5" t="n">
        <f aca="false">IFERROR(C4/B4*100,0)</f>
        <v>41.340782122905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1" topLeftCell="A2" activePane="bottomLeft" state="frozen"/>
      <selection pane="topLeft" activeCell="A1" activeCellId="0" sqref="A1"/>
      <selection pane="bottomLeft" activeCell="I18" activeCellId="0" sqref="I18"/>
    </sheetView>
  </sheetViews>
  <sheetFormatPr defaultColWidth="8.54296875" defaultRowHeight="15" customHeight="false" zeroHeight="false" outlineLevelRow="0" outlineLevelCol="0"/>
  <cols>
    <col collapsed="false" customWidth="true" hidden="false" outlineLevel="0" max="2" min="1" style="4" width="15"/>
    <col collapsed="false" customWidth="true" hidden="false" outlineLevel="0" max="3" min="3" style="4" width="14"/>
    <col collapsed="false" customWidth="true" hidden="false" outlineLevel="0" max="4" min="4" style="4" width="13"/>
    <col collapsed="false" customWidth="false" hidden="false" outlineLevel="0" max="16384" min="5" style="4" width="8.54"/>
  </cols>
  <sheetData>
    <row r="1" customFormat="false" ht="15" hidden="false" customHeight="false" outlineLevel="0" collapsed="false">
      <c r="A1" s="1" t="s">
        <v>112</v>
      </c>
      <c r="B1" s="1" t="s">
        <v>71</v>
      </c>
      <c r="C1" s="1" t="s">
        <v>73</v>
      </c>
      <c r="D1" s="1" t="s">
        <v>75</v>
      </c>
    </row>
    <row r="2" customFormat="false" ht="15" hidden="false" customHeight="false" outlineLevel="0" collapsed="false">
      <c r="A2" s="4" t="s">
        <v>36</v>
      </c>
      <c r="B2" s="5" t="n">
        <f aca="false">SUMIF(Sales_Detail!M2:M31,A2,Sales_Detail!T2:T31)</f>
        <v>1760</v>
      </c>
      <c r="C2" s="5" t="n">
        <f aca="false">SUMIF(Sales_Detail!M2:M31,A2,Sales_Detail!V2:V31)</f>
        <v>600</v>
      </c>
      <c r="D2" s="5" t="n">
        <f aca="false">COUNTIF(Sales_Detail!M2:M31,A2)</f>
        <v>3</v>
      </c>
    </row>
    <row r="3" customFormat="false" ht="15" hidden="false" customHeight="false" outlineLevel="0" collapsed="false">
      <c r="A3" s="4" t="s">
        <v>38</v>
      </c>
      <c r="B3" s="5" t="n">
        <f aca="false">SUMIF(Sales_Detail!M2:M31,A3,Sales_Detail!T2:T31)</f>
        <v>540</v>
      </c>
      <c r="C3" s="5" t="n">
        <f aca="false">SUMIF(Sales_Detail!M2:M31,A3,Sales_Detail!V2:V31)</f>
        <v>260</v>
      </c>
      <c r="D3" s="5" t="n">
        <f aca="false">COUNTIF(Sales_Detail!M2:M31,A3)</f>
        <v>2</v>
      </c>
    </row>
    <row r="4" customFormat="false" ht="15" hidden="false" customHeight="false" outlineLevel="0" collapsed="false">
      <c r="A4" s="4" t="s">
        <v>32</v>
      </c>
      <c r="B4" s="5" t="n">
        <f aca="false">SUMIF(Sales_Detail!M2:M31,A4,Sales_Detail!T2:T31)</f>
        <v>2530</v>
      </c>
      <c r="C4" s="5" t="n">
        <f aca="false">SUMIF(Sales_Detail!M2:M31,A4,Sales_Detail!V2:V31)</f>
        <v>920</v>
      </c>
      <c r="D4" s="5" t="n">
        <f aca="false">COUNTIF(Sales_Detail!M2:M31,A4)</f>
        <v>6</v>
      </c>
    </row>
    <row r="5" customFormat="false" ht="15" hidden="false" customHeight="false" outlineLevel="0" collapsed="false">
      <c r="A5" s="4" t="s">
        <v>28</v>
      </c>
      <c r="B5" s="5" t="n">
        <f aca="false">SUMIF(Sales_Detail!M2:M31,A5,Sales_Detail!T2:T31)</f>
        <v>5780</v>
      </c>
      <c r="C5" s="5" t="n">
        <f aca="false">SUMIF(Sales_Detail!M2:M31,A5,Sales_Detail!V2:V31)</f>
        <v>2010</v>
      </c>
      <c r="D5" s="5" t="n">
        <f aca="false">COUNTIF(Sales_Detail!M2:M31,A5)</f>
        <v>10</v>
      </c>
    </row>
    <row r="6" customFormat="false" ht="15" hidden="false" customHeight="false" outlineLevel="0" collapsed="false">
      <c r="A6" s="4" t="s">
        <v>47</v>
      </c>
      <c r="B6" s="5" t="n">
        <f aca="false">SUMIF(Sales_Detail!M2:M31,A6,Sales_Detail!T2:T31)</f>
        <v>340</v>
      </c>
      <c r="C6" s="5" t="n">
        <f aca="false">SUMIF(Sales_Detail!M2:M31,A6,Sales_Detail!V2:V31)</f>
        <v>160</v>
      </c>
      <c r="D6" s="5" t="n">
        <f aca="false">COUNTIF(Sales_Detail!M2:M31,A6)</f>
        <v>2</v>
      </c>
    </row>
    <row r="7" customFormat="false" ht="15" hidden="false" customHeight="false" outlineLevel="0" collapsed="false">
      <c r="A7" s="4" t="s">
        <v>40</v>
      </c>
      <c r="B7" s="5" t="n">
        <f aca="false">SUMIF(Sales_Detail!M2:M31,A7,Sales_Detail!T2:T31)</f>
        <v>4810</v>
      </c>
      <c r="C7" s="5" t="n">
        <f aca="false">SUMIF(Sales_Detail!M2:M31,A7,Sales_Detail!V2:V31)</f>
        <v>1500</v>
      </c>
      <c r="D7" s="5" t="n">
        <f aca="false">COUNTIF(Sales_Detail!M2:M31,A7)</f>
        <v>4</v>
      </c>
    </row>
    <row r="8" customFormat="false" ht="15" hidden="false" customHeight="false" outlineLevel="0" collapsed="false">
      <c r="A8" s="4" t="s">
        <v>44</v>
      </c>
      <c r="B8" s="5" t="n">
        <f aca="false">SUMIF(Sales_Detail!M2:M31,A8,Sales_Detail!T2:T31)</f>
        <v>1430</v>
      </c>
      <c r="C8" s="5" t="n">
        <f aca="false">SUMIF(Sales_Detail!M2:M31,A8,Sales_Detail!V2:V31)</f>
        <v>580</v>
      </c>
      <c r="D8" s="5" t="n">
        <f aca="false">COUNTIF(Sales_Detail!M2:M31,A8)</f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1" topLeftCell="A2" activePane="bottomLeft" state="frozen"/>
      <selection pane="topLeft" activeCell="A1" activeCellId="0" sqref="A1"/>
      <selection pane="bottomLeft" activeCell="H16" activeCellId="0" sqref="H16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4" width="13"/>
    <col collapsed="false" customWidth="true" hidden="false" outlineLevel="0" max="2" min="2" style="4" width="15"/>
    <col collapsed="false" customWidth="true" hidden="false" outlineLevel="0" max="3" min="3" style="4" width="13"/>
    <col collapsed="false" customWidth="true" hidden="false" outlineLevel="0" max="4" min="4" style="4" width="15"/>
    <col collapsed="false" customWidth="true" hidden="false" outlineLevel="0" max="5" min="5" style="4" width="14"/>
    <col collapsed="false" customWidth="false" hidden="false" outlineLevel="0" max="16384" min="6" style="4" width="8.54"/>
  </cols>
  <sheetData>
    <row r="1" customFormat="false" ht="15" hidden="false" customHeight="false" outlineLevel="0" collapsed="false">
      <c r="A1" s="1" t="s">
        <v>1</v>
      </c>
      <c r="B1" s="1" t="s">
        <v>22</v>
      </c>
      <c r="C1" s="1" t="s">
        <v>75</v>
      </c>
      <c r="D1" s="1" t="s">
        <v>71</v>
      </c>
      <c r="E1" s="1" t="s">
        <v>73</v>
      </c>
    </row>
    <row r="2" customFormat="false" ht="15" hidden="false" customHeight="false" outlineLevel="0" collapsed="false">
      <c r="A2" s="2" t="n">
        <v>105</v>
      </c>
      <c r="B2" s="4" t="s">
        <v>39</v>
      </c>
      <c r="C2" s="5" t="n">
        <f aca="false">COUNTIF(Sales_Detail!B2:B31,A2)</f>
        <v>4</v>
      </c>
      <c r="D2" s="5" t="n">
        <f aca="false">SUMIF(Sales_Detail!B2:B31,A2,Sales_Detail!T2:T31)</f>
        <v>4810</v>
      </c>
      <c r="E2" s="5" t="n">
        <f aca="false">SUMIF(Sales_Detail!B2:B31,A2,Sales_Detail!V2:V31)</f>
        <v>1500</v>
      </c>
    </row>
    <row r="3" customFormat="false" ht="15" hidden="false" customHeight="false" outlineLevel="0" collapsed="false">
      <c r="A3" s="2" t="n">
        <v>101</v>
      </c>
      <c r="B3" s="4" t="s">
        <v>27</v>
      </c>
      <c r="C3" s="5" t="n">
        <f aca="false">COUNTIF(Sales_Detail!B2:B31,A3)</f>
        <v>4</v>
      </c>
      <c r="D3" s="5" t="n">
        <f aca="false">SUMIF(Sales_Detail!B2:B31,A3,Sales_Detail!T2:T31)</f>
        <v>2740</v>
      </c>
      <c r="E3" s="5" t="n">
        <f aca="false">SUMIF(Sales_Detail!B2:B31,A3,Sales_Detail!V2:V31)</f>
        <v>860</v>
      </c>
    </row>
    <row r="4" customFormat="false" ht="15" hidden="false" customHeight="false" outlineLevel="0" collapsed="false">
      <c r="A4" s="2" t="n">
        <v>109</v>
      </c>
      <c r="B4" s="4" t="s">
        <v>45</v>
      </c>
      <c r="C4" s="5" t="n">
        <f aca="false">COUNTIF(Sales_Detail!B2:B31,A4)</f>
        <v>3</v>
      </c>
      <c r="D4" s="5" t="n">
        <f aca="false">SUMIF(Sales_Detail!B2:B31,A4,Sales_Detail!T2:T31)</f>
        <v>2180</v>
      </c>
      <c r="E4" s="5" t="n">
        <f aca="false">SUMIF(Sales_Detail!B2:B31,A4,Sales_Detail!V2:V31)</f>
        <v>740</v>
      </c>
    </row>
    <row r="5" customFormat="false" ht="15" hidden="false" customHeight="false" outlineLevel="0" collapsed="false">
      <c r="A5" s="2" t="n">
        <v>103</v>
      </c>
      <c r="B5" s="4" t="s">
        <v>35</v>
      </c>
      <c r="C5" s="5" t="n">
        <f aca="false">COUNTIF(Sales_Detail!B2:B31,A5)</f>
        <v>3</v>
      </c>
      <c r="D5" s="5" t="n">
        <f aca="false">SUMIF(Sales_Detail!B2:B31,A5,Sales_Detail!T2:T31)</f>
        <v>1760</v>
      </c>
      <c r="E5" s="5" t="n">
        <f aca="false">SUMIF(Sales_Detail!B2:B31,A5,Sales_Detail!V2:V31)</f>
        <v>600</v>
      </c>
    </row>
    <row r="6" customFormat="false" ht="15" hidden="false" customHeight="false" outlineLevel="0" collapsed="false">
      <c r="A6" s="2" t="n">
        <v>107</v>
      </c>
      <c r="B6" s="4" t="s">
        <v>42</v>
      </c>
      <c r="C6" s="5" t="n">
        <f aca="false">COUNTIF(Sales_Detail!B2:B31,A6)</f>
        <v>3</v>
      </c>
      <c r="D6" s="5" t="n">
        <f aca="false">SUMIF(Sales_Detail!B2:B31,A6,Sales_Detail!T2:T31)</f>
        <v>1580</v>
      </c>
      <c r="E6" s="5" t="n">
        <f aca="false">SUMIF(Sales_Detail!B2:B31,A6,Sales_Detail!V2:V31)</f>
        <v>520</v>
      </c>
    </row>
    <row r="7" customFormat="false" ht="15" hidden="false" customHeight="false" outlineLevel="0" collapsed="false">
      <c r="A7" s="2" t="n">
        <v>108</v>
      </c>
      <c r="B7" s="4" t="s">
        <v>43</v>
      </c>
      <c r="C7" s="5" t="n">
        <f aca="false">COUNTIF(Sales_Detail!B2:B31,A7)</f>
        <v>3</v>
      </c>
      <c r="D7" s="5" t="n">
        <f aca="false">SUMIF(Sales_Detail!B2:B31,A7,Sales_Detail!T2:T31)</f>
        <v>1430</v>
      </c>
      <c r="E7" s="5" t="n">
        <f aca="false">SUMIF(Sales_Detail!B2:B31,A7,Sales_Detail!V2:V31)</f>
        <v>580</v>
      </c>
    </row>
    <row r="8" customFormat="false" ht="15" hidden="false" customHeight="false" outlineLevel="0" collapsed="false">
      <c r="A8" s="2" t="n">
        <v>102</v>
      </c>
      <c r="B8" s="4" t="s">
        <v>31</v>
      </c>
      <c r="C8" s="5" t="n">
        <f aca="false">COUNTIF(Sales_Detail!B2:B31,A8)</f>
        <v>3</v>
      </c>
      <c r="D8" s="5" t="n">
        <f aca="false">SUMIF(Sales_Detail!B2:B31,A8,Sales_Detail!T2:T31)</f>
        <v>950</v>
      </c>
      <c r="E8" s="5" t="n">
        <f aca="false">SUMIF(Sales_Detail!B2:B31,A8,Sales_Detail!V2:V31)</f>
        <v>400</v>
      </c>
    </row>
    <row r="9" customFormat="false" ht="15" hidden="false" customHeight="false" outlineLevel="0" collapsed="false">
      <c r="A9" s="2" t="n">
        <v>106</v>
      </c>
      <c r="B9" s="4" t="s">
        <v>41</v>
      </c>
      <c r="C9" s="5" t="n">
        <f aca="false">COUNTIF(Sales_Detail!B2:B31,A9)</f>
        <v>3</v>
      </c>
      <c r="D9" s="5" t="n">
        <f aca="false">SUMIF(Sales_Detail!B2:B31,A9,Sales_Detail!T2:T31)</f>
        <v>860</v>
      </c>
      <c r="E9" s="5" t="n">
        <f aca="false">SUMIF(Sales_Detail!B2:B31,A9,Sales_Detail!V2:V31)</f>
        <v>410</v>
      </c>
    </row>
    <row r="10" customFormat="false" ht="15" hidden="false" customHeight="false" outlineLevel="0" collapsed="false">
      <c r="A10" s="2" t="n">
        <v>104</v>
      </c>
      <c r="B10" s="4" t="s">
        <v>37</v>
      </c>
      <c r="C10" s="5" t="n">
        <f aca="false">COUNTIF(Sales_Detail!B2:B31,A10)</f>
        <v>2</v>
      </c>
      <c r="D10" s="5" t="n">
        <f aca="false">SUMIF(Sales_Detail!B2:B31,A10,Sales_Detail!T2:T31)</f>
        <v>540</v>
      </c>
      <c r="E10" s="5" t="n">
        <f aca="false">SUMIF(Sales_Detail!B2:B31,A10,Sales_Detail!V2:V31)</f>
        <v>260</v>
      </c>
    </row>
    <row r="11" customFormat="false" ht="15" hidden="false" customHeight="false" outlineLevel="0" collapsed="false">
      <c r="A11" s="2" t="n">
        <v>110</v>
      </c>
      <c r="B11" s="4" t="s">
        <v>46</v>
      </c>
      <c r="C11" s="5" t="n">
        <f aca="false">COUNTIF(Sales_Detail!B2:B31,A11)</f>
        <v>2</v>
      </c>
      <c r="D11" s="5" t="n">
        <f aca="false">SUMIF(Sales_Detail!B2:B31,A11,Sales_Detail!T2:T31)</f>
        <v>340</v>
      </c>
      <c r="E11" s="5" t="n">
        <f aca="false">SUMIF(Sales_Detail!B2:B31,A11,Sales_Detail!V2:V31)</f>
        <v>160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1" topLeftCell="A2" activePane="bottomLeft" state="frozen"/>
      <selection pane="topLeft" activeCell="A1" activeCellId="0" sqref="A1"/>
      <selection pane="bottomLeft" activeCell="A4" activeCellId="0" sqref="A4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4" width="25"/>
    <col collapsed="false" customWidth="true" hidden="false" outlineLevel="0" max="2" min="2" style="4" width="52"/>
    <col collapsed="false" customWidth="true" hidden="false" outlineLevel="0" max="3" min="3" style="4" width="60"/>
    <col collapsed="false" customWidth="false" hidden="false" outlineLevel="0" max="16384" min="4" style="4" width="8.54"/>
  </cols>
  <sheetData>
    <row r="1" customFormat="false" ht="15" hidden="false" customHeight="false" outlineLevel="0" collapsed="false">
      <c r="A1" s="14" t="s">
        <v>113</v>
      </c>
      <c r="B1" s="14" t="s">
        <v>114</v>
      </c>
      <c r="C1" s="14" t="s">
        <v>115</v>
      </c>
    </row>
    <row r="2" customFormat="false" ht="15" hidden="false" customHeight="false" outlineLevel="0" collapsed="false">
      <c r="A2" s="4" t="s">
        <v>71</v>
      </c>
      <c r="B2" s="4" t="s">
        <v>116</v>
      </c>
      <c r="C2" s="4" t="s">
        <v>117</v>
      </c>
    </row>
    <row r="3" customFormat="false" ht="15" hidden="false" customHeight="false" outlineLevel="0" collapsed="false">
      <c r="A3" s="4" t="s">
        <v>72</v>
      </c>
      <c r="B3" s="4" t="s">
        <v>118</v>
      </c>
      <c r="C3" s="4" t="s">
        <v>119</v>
      </c>
    </row>
    <row r="4" customFormat="false" ht="15" hidden="false" customHeight="false" outlineLevel="0" collapsed="false">
      <c r="A4" s="4" t="s">
        <v>73</v>
      </c>
      <c r="B4" s="4" t="s">
        <v>120</v>
      </c>
      <c r="C4" s="4" t="s">
        <v>121</v>
      </c>
    </row>
    <row r="5" customFormat="false" ht="15" hidden="false" customHeight="false" outlineLevel="0" collapsed="false">
      <c r="A5" s="4" t="s">
        <v>74</v>
      </c>
      <c r="B5" s="4" t="str">
        <f aca="false">TEXT(C2,"YYYY-MM")</f>
        <v>Quantity × selling price</v>
      </c>
      <c r="C5" s="4" t="s">
        <v>122</v>
      </c>
    </row>
    <row r="6" customFormat="false" ht="15" hidden="false" customHeight="false" outlineLevel="0" collapsed="false">
      <c r="A6" s="4" t="s">
        <v>123</v>
      </c>
      <c r="B6" s="4" t="s">
        <v>124</v>
      </c>
      <c r="C6" s="4" t="s">
        <v>125</v>
      </c>
    </row>
    <row r="7" customFormat="false" ht="15" hidden="false" customHeight="false" outlineLevel="0" collapsed="false">
      <c r="A7" s="4" t="s">
        <v>126</v>
      </c>
      <c r="B7" s="4" t="s">
        <v>127</v>
      </c>
      <c r="C7" s="4" t="s">
        <v>128</v>
      </c>
    </row>
    <row r="8" customFormat="false" ht="15" hidden="false" customHeight="false" outlineLevel="0" collapsed="false">
      <c r="A8" s="4" t="s">
        <v>129</v>
      </c>
      <c r="B8" s="4" t="s">
        <v>130</v>
      </c>
      <c r="C8" s="4" t="s">
        <v>131</v>
      </c>
    </row>
    <row r="9" customFormat="false" ht="15" hidden="false" customHeight="false" outlineLevel="0" collapsed="false">
      <c r="A9" s="4" t="s">
        <v>132</v>
      </c>
      <c r="B9" s="4" t="s">
        <v>133</v>
      </c>
      <c r="C9" s="4" t="s">
        <v>134</v>
      </c>
    </row>
    <row r="10" customFormat="false" ht="15" hidden="false" customHeight="false" outlineLevel="0" collapsed="false">
      <c r="A10" s="4" t="s">
        <v>135</v>
      </c>
      <c r="B10" s="4" t="s">
        <v>136</v>
      </c>
      <c r="C10" s="4" t="s">
        <v>137</v>
      </c>
    </row>
    <row r="11" customFormat="false" ht="15" hidden="false" customHeight="false" outlineLevel="0" collapsed="false">
      <c r="A11" s="4" t="s">
        <v>138</v>
      </c>
      <c r="B11" s="4" t="s">
        <v>139</v>
      </c>
      <c r="C11" s="4" t="s">
        <v>140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141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2026-10-11T23:56:28Z</dcterms:created>
  <dc:creator>openpyxl</dc:creator>
  <dc:description/>
  <dc:language>en-IN</dc:language>
  <cp:lastModifiedBy/>
  <dcterms:modified xsi:type="dcterms:W3CDTF">2026-10-13T06:22:33Z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